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srworg-my.sharepoint.com/personal/kirandeep_kaur_hsrw_org/Documents/eDNA Monitoring/KKaur_2026_Riverine_Fish_eDNA_Bachelor_Thesis/"/>
    </mc:Choice>
  </mc:AlternateContent>
  <xr:revisionPtr revIDLastSave="78" documentId="11_F25DC773A252ABDACC1048C8611B4F205ADE58EE" xr6:coauthVersionLast="47" xr6:coauthVersionMax="47" xr10:uidLastSave="{55EBA56F-1DEC-429A-946F-B218B1767379}"/>
  <bookViews>
    <workbookView xWindow="38290" yWindow="-110" windowWidth="25820" windowHeight="13900" xr2:uid="{813B21D0-5AB6-4378-9B59-045B8CC38FE0}"/>
  </bookViews>
  <sheets>
    <sheet name="Supplementary Dataset" sheetId="1" r:id="rId1"/>
    <sheet name="Supplementary Table 1" sheetId="3" r:id="rId2"/>
    <sheet name="Descriptive Data" sheetId="4" r:id="rId3"/>
  </sheets>
  <definedNames>
    <definedName name="_xlnm._FilterDatabase" localSheetId="0" hidden="1">'Supplementary Dataset'!$A$2:$AS$60</definedName>
    <definedName name="_xlnm._FilterDatabase" localSheetId="1" hidden="1">'Supplementary Table 1'!$A$2:$AS$60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2" i="4" l="1"/>
  <c r="C111" i="4"/>
  <c r="C110" i="4"/>
  <c r="C109" i="4"/>
  <c r="B110" i="4"/>
  <c r="B109" i="4"/>
  <c r="D101" i="4"/>
  <c r="D102" i="4"/>
  <c r="D103" i="4"/>
  <c r="D100" i="4"/>
  <c r="C105" i="4"/>
  <c r="C104" i="4"/>
  <c r="C103" i="4"/>
  <c r="C102" i="4"/>
  <c r="C101" i="4"/>
  <c r="C100" i="4"/>
  <c r="B105" i="4"/>
  <c r="D92" i="4"/>
  <c r="D93" i="4"/>
  <c r="D94" i="4"/>
  <c r="D91" i="4"/>
  <c r="C95" i="4"/>
  <c r="C94" i="4"/>
  <c r="C93" i="4"/>
  <c r="C92" i="4"/>
  <c r="B96" i="4"/>
  <c r="C91" i="4" s="1"/>
  <c r="B29" i="4"/>
  <c r="C28" i="4" s="1"/>
  <c r="B81" i="4"/>
  <c r="C80" i="4" s="1"/>
  <c r="C71" i="4"/>
  <c r="C70" i="4"/>
  <c r="C69" i="4"/>
  <c r="B72" i="4"/>
  <c r="C68" i="4" s="1"/>
  <c r="C86" i="4"/>
  <c r="C87" i="4"/>
  <c r="C85" i="4"/>
  <c r="C42" i="4"/>
  <c r="C43" i="4"/>
  <c r="C44" i="4"/>
  <c r="C41" i="4"/>
  <c r="B45" i="4"/>
  <c r="C45" i="4" s="1"/>
  <c r="C20" i="4"/>
  <c r="B22" i="4"/>
  <c r="C21" i="4"/>
  <c r="C67" i="4" l="1"/>
  <c r="C72" i="4" s="1"/>
  <c r="C26" i="4"/>
  <c r="C27" i="4"/>
  <c r="C29" i="4"/>
  <c r="C76" i="4"/>
  <c r="C77" i="4"/>
  <c r="C78" i="4"/>
  <c r="C79" i="4"/>
  <c r="D96" i="4"/>
  <c r="C22" i="4"/>
  <c r="F16" i="4"/>
  <c r="G13" i="4" s="1"/>
  <c r="F9" i="4"/>
  <c r="G8" i="4"/>
  <c r="G7" i="4"/>
  <c r="G6" i="4"/>
  <c r="G5" i="4"/>
  <c r="G4" i="4"/>
  <c r="B15" i="4"/>
  <c r="C14" i="4"/>
  <c r="C13" i="4"/>
  <c r="C12" i="4"/>
  <c r="C11" i="4"/>
  <c r="C10" i="4"/>
  <c r="C9" i="4"/>
  <c r="C8" i="4"/>
  <c r="C7" i="4"/>
  <c r="C6" i="4"/>
  <c r="C5" i="4"/>
  <c r="C4" i="4"/>
  <c r="G9" i="4" l="1"/>
  <c r="C15" i="4"/>
  <c r="G14" i="4"/>
  <c r="G15" i="4"/>
  <c r="G16" i="4" l="1"/>
</calcChain>
</file>

<file path=xl/sharedStrings.xml><?xml version="1.0" encoding="utf-8"?>
<sst xmlns="http://schemas.openxmlformats.org/spreadsheetml/2006/main" count="4513" uniqueCount="1039">
  <si>
    <t>Continent</t>
  </si>
  <si>
    <t>Total filtered volume per site(L)</t>
  </si>
  <si>
    <t>Filter material</t>
  </si>
  <si>
    <t>Study ID</t>
  </si>
  <si>
    <t>Bibliographic and Study Characteristics</t>
  </si>
  <si>
    <t>#01</t>
  </si>
  <si>
    <t>#02</t>
  </si>
  <si>
    <t>#03</t>
  </si>
  <si>
    <t>#04</t>
  </si>
  <si>
    <t>#05</t>
  </si>
  <si>
    <t>#06</t>
  </si>
  <si>
    <t>#07</t>
  </si>
  <si>
    <t>#08</t>
  </si>
  <si>
    <t>#09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</si>
  <si>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</si>
  <si>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</si>
  <si>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</si>
  <si>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</si>
  <si>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</si>
  <si>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</si>
  <si>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</si>
  <si>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</si>
  <si>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</si>
  <si>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</si>
  <si>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</si>
  <si>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</si>
  <si>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</si>
  <si>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</si>
  <si>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</si>
  <si>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</si>
  <si>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</si>
  <si>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</si>
  <si>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</si>
  <si>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</si>
  <si>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</si>
  <si>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</si>
  <si>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</si>
  <si>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</si>
  <si>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</si>
  <si>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</si>
  <si>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</si>
  <si>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</si>
  <si>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</si>
  <si>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</si>
  <si>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</si>
  <si>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</si>
  <si>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</si>
  <si>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</si>
  <si>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</si>
  <si>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</si>
  <si>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</si>
  <si>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</si>
  <si>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</si>
  <si>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</si>
  <si>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</si>
  <si>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</si>
  <si>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</si>
  <si>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</si>
  <si>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</si>
  <si>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</si>
  <si>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</si>
  <si>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</si>
  <si>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</si>
  <si>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First Author</t>
  </si>
  <si>
    <t>Spatial and Hydrological Context</t>
  </si>
  <si>
    <t>Journal name</t>
  </si>
  <si>
    <t>Study Country</t>
  </si>
  <si>
    <t>River-system category</t>
  </si>
  <si>
    <t>Examined river length (km)</t>
  </si>
  <si>
    <t>Reported discharge (m³/s)</t>
  </si>
  <si>
    <t>Reported eDNA detection distance (km)</t>
  </si>
  <si>
    <t>Interpreted turbidity category</t>
  </si>
  <si>
    <t>Sampling Year/period</t>
  </si>
  <si>
    <t>Site-selection design</t>
  </si>
  <si>
    <t>Replicates per site</t>
  </si>
  <si>
    <t>Volume per sample (L)</t>
  </si>
  <si>
    <t>Number of sampling sites</t>
  </si>
  <si>
    <t>Sampling platform</t>
  </si>
  <si>
    <t>Water-collection method</t>
  </si>
  <si>
    <t>Replication type</t>
  </si>
  <si>
    <t>Filtration location</t>
  </si>
  <si>
    <t>Time from collection to filtration (h)</t>
  </si>
  <si>
    <t>Filter format</t>
  </si>
  <si>
    <t>Pre-filtration preservation</t>
  </si>
  <si>
    <t>Filter pore size (µm)</t>
  </si>
  <si>
    <t>Post-filtration preservation method</t>
  </si>
  <si>
    <t>DNA extraction kit</t>
  </si>
  <si>
    <t>Target marker gene</t>
  </si>
  <si>
    <t>Primer system / assay</t>
  </si>
  <si>
    <t>Amplicon length (bp)</t>
  </si>
  <si>
    <t>Molecular detection approach</t>
  </si>
  <si>
    <t>Sequencing platform</t>
  </si>
  <si>
    <t>ASV/OTU method</t>
  </si>
  <si>
    <t>Bioinformatic pipeline</t>
  </si>
  <si>
    <t>Sequence filtering and taxonomic assignment criteria</t>
  </si>
  <si>
    <t>Reference database</t>
  </si>
  <si>
    <t>Conventional monitoring method</t>
  </si>
  <si>
    <t>Number of paired comparison sites</t>
  </si>
  <si>
    <t>eDNA-detected richness</t>
  </si>
  <si>
    <t>Conventionally detected richness</t>
  </si>
  <si>
    <t>eDNA/conventional richness ratio</t>
  </si>
  <si>
    <t>Shared species/taxa</t>
  </si>
  <si>
    <t>Higher-richness method</t>
  </si>
  <si>
    <t>DNA Extraction and Amplification</t>
  </si>
  <si>
    <t>Field Sampling and Filtration Strategy</t>
  </si>
  <si>
    <t>Sequencing and Bioinformatic Processing</t>
  </si>
  <si>
    <t>Comparison with Conventional Monitoring Methods</t>
  </si>
  <si>
    <t>Antognazza</t>
  </si>
  <si>
    <t>Beridze</t>
  </si>
  <si>
    <t>Bylemans</t>
  </si>
  <si>
    <t xml:space="preserve">Cantera </t>
  </si>
  <si>
    <t>Carraro</t>
  </si>
  <si>
    <t>Chucholl</t>
  </si>
  <si>
    <t>Cilleros</t>
  </si>
  <si>
    <t>Civade</t>
  </si>
  <si>
    <t>Clusa</t>
  </si>
  <si>
    <t>Consuegra</t>
  </si>
  <si>
    <t>Coutant</t>
  </si>
  <si>
    <t>Coya</t>
  </si>
  <si>
    <t>Curto</t>
  </si>
  <si>
    <t>Eros</t>
  </si>
  <si>
    <t>Fernandez</t>
  </si>
  <si>
    <t>Goutte</t>
  </si>
  <si>
    <t>Griffiths</t>
  </si>
  <si>
    <t>Hallam</t>
  </si>
  <si>
    <t>Halvorsen</t>
  </si>
  <si>
    <t>He</t>
  </si>
  <si>
    <t>Jane</t>
  </si>
  <si>
    <t>Kirschner</t>
  </si>
  <si>
    <t>Lecaudey</t>
  </si>
  <si>
    <t>Lee</t>
  </si>
  <si>
    <t>Liu</t>
  </si>
  <si>
    <t>Ma</t>
  </si>
  <si>
    <t>Mächler</t>
  </si>
  <si>
    <t>Meulenbroek</t>
  </si>
  <si>
    <t>Milhau</t>
  </si>
  <si>
    <t>Muha</t>
  </si>
  <si>
    <t>Novaković</t>
  </si>
  <si>
    <t>Olds</t>
  </si>
  <si>
    <t>Overland</t>
  </si>
  <si>
    <t>Pont</t>
  </si>
  <si>
    <t>Schumer</t>
  </si>
  <si>
    <t>Thalinger</t>
  </si>
  <si>
    <t>Valentini</t>
  </si>
  <si>
    <t>Van Driessche</t>
  </si>
  <si>
    <t>Wang</t>
  </si>
  <si>
    <t>Wilcox</t>
  </si>
  <si>
    <t>Xiao</t>
  </si>
  <si>
    <t>Xu</t>
  </si>
  <si>
    <t>Yu</t>
  </si>
  <si>
    <t>Sakata</t>
  </si>
  <si>
    <t>Ito</t>
  </si>
  <si>
    <t>Baudry</t>
  </si>
  <si>
    <t>Astorg</t>
  </si>
  <si>
    <t>Maracle</t>
  </si>
  <si>
    <t>McColl-Gausden</t>
  </si>
  <si>
    <t>Environmental DNA</t>
  </si>
  <si>
    <t>Aquatic Conservation: Marine and Freshwater Ecosystems</t>
  </si>
  <si>
    <t xml:space="preserve"> Metabarcoding and Metagenomics</t>
  </si>
  <si>
    <t>Ecology and Evolution</t>
  </si>
  <si>
    <t>Scientific Reports</t>
  </si>
  <si>
    <t>Biological Conservation</t>
  </si>
  <si>
    <t>Nature Communications</t>
  </si>
  <si>
    <t>Frontiers in Ecology and Evolution</t>
  </si>
  <si>
    <t>Molecular Ecology Resources</t>
  </si>
  <si>
    <t>PLOS ONE</t>
  </si>
  <si>
    <t>Science of the Total Environment</t>
  </si>
  <si>
    <t>Animals</t>
  </si>
  <si>
    <t>Cold Spring Harbor Laboratory</t>
  </si>
  <si>
    <t>PeerJ</t>
  </si>
  <si>
    <t>Journal of Fish Biology</t>
  </si>
  <si>
    <t>Global Ecology and Conservation</t>
  </si>
  <si>
    <t>Ecological Indicators</t>
  </si>
  <si>
    <t>Israeli Journal of Aquaculture - Bamidgeh</t>
  </si>
  <si>
    <t>Biodiversity and Conservation</t>
  </si>
  <si>
    <t>Fishes</t>
  </si>
  <si>
    <t>Scientifc Reports</t>
  </si>
  <si>
    <t>Biological Invasions</t>
  </si>
  <si>
    <t>Environmental Research</t>
  </si>
  <si>
    <t>Frontiers in Marine Science</t>
  </si>
  <si>
    <t>Limnology</t>
  </si>
  <si>
    <t xml:space="preserve">Global Ecology and Conservation </t>
  </si>
  <si>
    <t>Metabarcoding and Metagenomics</t>
  </si>
  <si>
    <t>Journal of Great Lakes Research</t>
  </si>
  <si>
    <t>Molecular Ecology</t>
  </si>
  <si>
    <t>Europe</t>
  </si>
  <si>
    <t>Asia</t>
  </si>
  <si>
    <t>Australia</t>
  </si>
  <si>
    <t>South America</t>
  </si>
  <si>
    <t>North America</t>
  </si>
  <si>
    <t>United Kingdom</t>
  </si>
  <si>
    <t>Georgia</t>
  </si>
  <si>
    <t>French Guiana</t>
  </si>
  <si>
    <t>Spain</t>
  </si>
  <si>
    <t>Switzerland</t>
  </si>
  <si>
    <t>Germany</t>
  </si>
  <si>
    <t>France</t>
  </si>
  <si>
    <t>Portugal</t>
  </si>
  <si>
    <t>Austria; Hungary</t>
  </si>
  <si>
    <t>Norway</t>
  </si>
  <si>
    <t>China</t>
  </si>
  <si>
    <t>USA</t>
  </si>
  <si>
    <t>Italy</t>
  </si>
  <si>
    <t>Russia</t>
  </si>
  <si>
    <t>Danube Basin(Austria, Germany, Hungary, Serbia,Romania,Slovakia, etc.) Europe</t>
  </si>
  <si>
    <t>Serbias</t>
  </si>
  <si>
    <t>DE+AT+FR+HU+RS+SK+RO+LU</t>
  </si>
  <si>
    <t>France &amp; Switzerlan</t>
  </si>
  <si>
    <t>Austria</t>
  </si>
  <si>
    <t>France, Netherlands</t>
  </si>
  <si>
    <t>Belgium</t>
  </si>
  <si>
    <t>Japan</t>
  </si>
  <si>
    <t>Martinique</t>
  </si>
  <si>
    <t>Canada</t>
  </si>
  <si>
    <t>Quantify the spatial and temporal extent of European shad spawning migrations in a fragmented river basin.</t>
  </si>
  <si>
    <t>Apply eDNA metabarcoding as a first modern fish biodiversity inventory for the Rioni River in the Caucasus biodiversity hotspot, and evaluate how well eDNA can assess fish diversity where traditional and barcode data are limited.</t>
  </si>
  <si>
    <t>Determine optimal eDNA metabarcoding sampling strategies for monitoring riverine fish communities along altitudinal and biodiversity gradients.</t>
  </si>
  <si>
    <t>Determine the optimal filtered water volume needed for fish inventories in tropical streams and rivers.</t>
  </si>
  <si>
    <t>Develop and apply a species-specific eDNA tool for endangered European eel monitoring.</t>
  </si>
  <si>
    <t>Design optimal eDNA sampling strategies for biomonitoring in river networks.</t>
  </si>
  <si>
    <t>Develop and validate eDNA assays for native and invasive crayfish species and test whether eDNA enables year-round monitoring and large-scale screening of lotic systems.</t>
  </si>
  <si>
    <t>Test whether eDNA metabarcoding can describe highly diverse tropical freshwater fish assemblages and compare patterns with traditional sampling.</t>
  </si>
  <si>
    <t>Develop an eDNA-based alert tool for non-native/invasive freshwater fish detection.</t>
  </si>
  <si>
    <t>Assess the cumulative impact of large and small instream barriers on fish species richness, relative abundance, and assemblage composition along the River Allier using eDNA metabarcoding.</t>
  </si>
  <si>
    <t>Test whether different eDNA collection and extraction protocols produce comparable fish community inventories in French Guiana streams and rivers.</t>
  </si>
  <si>
    <t>Detect and map invasive European catfish distribution and abundance patterns in the Guadalquivir River Basin using eDNA qPCR/ddPCR and hydroacoustics.</t>
  </si>
  <si>
    <t>Compare eDNA metabarcoding and electrofishing for freshwater fish community assessment in the lower Tagus basin, while considering habitat and hydrological differences.</t>
  </si>
  <si>
    <t>Examine how habitat specialization, connectivity, hydrological conditions, and local/regional environmental gradients shape alpha and beta diversity of floodplain fish metacommunities using eDNA metabarcoding.</t>
  </si>
  <si>
    <t>Compare qPCR and nested PCR-RFLP for salmonid eDNA detection and apply both methods to detect native brown trout and possible rainbow trout farm escapes in a protected mountain stream system.</t>
  </si>
  <si>
    <t>Compare eDNA metabarcoding with annual and long-term electrofishing for large-river fish monitoring.</t>
  </si>
  <si>
    <t>Detect European eel and fish community structure in pumped catchments compared with traditional survey protocols.</t>
  </si>
  <si>
    <t>Test eDNA metabarcoding across the dynamic Thames River system and compare it with traditional surveys.</t>
  </si>
  <si>
    <t>Estimate the number of European eel individuals using eDNA haplotype information.</t>
  </si>
  <si>
    <t>Use eDNA to investigate whether migration barriers reduce European eel occurrence with increasing distance from the sea.</t>
  </si>
  <si>
    <t>Quantify effects of distance, flow, biomass, and PCR inhibition on eDNA dynamics in headwater streams.</t>
  </si>
  <si>
    <t>Develop an eDNA assay to monitor invasive Ponto-Caspian gobies in flowing freshwater.</t>
  </si>
  <si>
    <t>Use eDNA metabarcoding to examine geographic patterns of interspecific and intraspecific fish diversity in riverine systems.</t>
  </si>
  <si>
    <t>Survey fish diversity and longitudinal distributions in the free-flowing Upper Volga and tributaries.</t>
  </si>
  <si>
    <t>Compare eDNA metabarcoding with established fish-survey protocols in Ozark streams and test hydrological/seasonal effects.</t>
  </si>
  <si>
    <t>Compare eDNA and electrofishing for taxonomic and functional structure and fish community assembly.</t>
  </si>
  <si>
    <t>Assess seasonal fish composition in the Fujiang River using eDNA and compare with net fishing.</t>
  </si>
  <si>
    <t>Assess different components of biodiversity across a river network using eDNA.</t>
  </si>
  <si>
    <t>Detect rare sturgeons in the Danube using eDNA metabarcoding.</t>
  </si>
  <si>
    <t>Examine seasonal dynamics of riverine fish communities using eDNA and evaluate effects of hydrology and reproductive periods.</t>
  </si>
  <si>
    <t>Monitor changes in fish community composition after weir removal using a BADU design.</t>
  </si>
  <si>
    <t>Develop a species-specific ddPCR assay for brown trout and grayling and monitor spawning-related seasonal eDNA variation.</t>
  </si>
  <si>
    <t>Estimate fish species richness using eDNA compared with depletion electrofishing.</t>
  </si>
  <si>
    <t>Assess migratory and resident fish responses to full and partial barrier removal using qPCR detection and copy-number metrics.</t>
  </si>
  <si>
    <t>Combine eDNA metabarcoding and qPCR to estimate fish community structure and approximate absolute abundance across the Danube.</t>
  </si>
  <si>
    <t>Assess whether eDNA metabarcoding can reveal qualitative and quantitative fish assemblage patterns in a large river despite downstream transport.</t>
  </si>
  <si>
    <t>Use eDNA to monitor eradication effectiveness of non-native brook trout in streams.</t>
  </si>
  <si>
    <t>Quantitatively monitor spawning migrations of potamodromous fish using eDNA and compare eDNA signals with visual fish counts.</t>
  </si>
  <si>
    <t>Test how lateral and longitudinal fish eDNA distribution changes under different seasonal discharge conditions in a dynamic Alpine river.</t>
  </si>
  <si>
    <t>Test whether eDNA concentration reflects spawning sockeye salmon abundance at fine spatial and temporal scales.</t>
  </si>
  <si>
    <t>Validate eDNA metabarcoding as a next-generation tool for aquatic biodiversity monitoring using amphibians and bony fish.</t>
  </si>
  <si>
    <t>Determine the spatial scale represented by fish eDNA metabarcoding in small rivers and large brooks, using controlled cage experiments to evaluate downstream transport, dilution, biomass signal, and community-profile stability.</t>
  </si>
  <si>
    <t>Compare eDNA and traditional sampling for fish diversity and distribution in rivers of the Changqing Nature Reserve.</t>
  </si>
  <si>
    <t>Estimate eDNA detection probability for brook trout and compare eDNA sensitivity with backpack electrofishing.</t>
  </si>
  <si>
    <t>Compare eDNA and traditional methods for fish diversity and determine an effective continuous sampling strategy in the lower Hanjiang River.</t>
  </si>
  <si>
    <t>Compare eDNA metabarcoding and morphological surveys to reveal fish community patterns in the Gaya River.</t>
  </si>
  <si>
    <t>Compare eDNA metabarcoding with conventional morphological fish surveys across six rivers and evaluate primer-set performance.</t>
  </si>
  <si>
    <t>Determine effective sampling method for fish eDNA metabarcoding in a small natural river.</t>
  </si>
  <si>
    <t>Use eDNA metabarcoding to establish fish-community targets after river restoration.</t>
  </si>
  <si>
    <t>Validate eDNA metabarcoding against traditional electrofishing for fish and decapod inventories in Martinique streams and assess its potential for long-term biodiversity and ecological monitoring.</t>
  </si>
  <si>
    <t>Compare eDNA metabarcoding and electrofishing for fish-community biomonitoring in a large river floodplain, and test whether eDNA detects community patterns associated with floodplain sectors and land use.</t>
  </si>
  <si>
    <t>Compare eDNA and seining along the Upper St. Lawrence River and assess effects of habitat and disturbance.</t>
  </si>
  <si>
    <t>Compare eDNA metabarcoding sensitivity with backpack electrofishing using occupancy models.</t>
  </si>
  <si>
    <t>Objective description</t>
  </si>
  <si>
    <t>Large river + tributary</t>
  </si>
  <si>
    <t>Large river</t>
  </si>
  <si>
    <t>Small River/Streams</t>
  </si>
  <si>
    <t>Transitional/Estuarie</t>
  </si>
  <si>
    <t>Large River + tributary</t>
  </si>
  <si>
    <t>River-lake connecetd system</t>
  </si>
  <si>
    <t>130;354</t>
  </si>
  <si>
    <t>_</t>
  </si>
  <si>
    <t>4.1 - 124.6</t>
  </si>
  <si>
    <t>~135.2 (Commulative between sites)</t>
  </si>
  <si>
    <t>0.15–0.8</t>
  </si>
  <si>
    <t>Rhône River: 812 km; Ain River: 190 km; Tier River: 13 km</t>
  </si>
  <si>
    <t>~2</t>
  </si>
  <si>
    <t>Moderate - High</t>
  </si>
  <si>
    <t>2017-18</t>
  </si>
  <si>
    <t>Longitudinal river-gradient sampling</t>
  </si>
  <si>
    <t>3-21.3(River Teme); 29.3- 83.3 (River Severn)</t>
  </si>
  <si>
    <t>2018-19</t>
  </si>
  <si>
    <t>424 m³/s (13.37 km³/year)</t>
  </si>
  <si>
    <t>High</t>
  </si>
  <si>
    <t>Low</t>
  </si>
  <si>
    <t>Hybrid longitudinal–fixed-site sampling</t>
  </si>
  <si>
    <t>Low - Moderate</t>
  </si>
  <si>
    <t>Moderate</t>
  </si>
  <si>
    <t>2019 - 20</t>
  </si>
  <si>
    <t>2014–15</t>
  </si>
  <si>
    <t>Spatially distributed fixed-site sampling</t>
  </si>
  <si>
    <t>0.171-8</t>
  </si>
  <si>
    <t>2-3</t>
  </si>
  <si>
    <t xml:space="preserve">Low </t>
  </si>
  <si>
    <t>2014-15; 2016-19</t>
  </si>
  <si>
    <t>2019-20</t>
  </si>
  <si>
    <t>1900–2400</t>
  </si>
  <si>
    <t>113;150</t>
  </si>
  <si>
    <t>2020-21</t>
  </si>
  <si>
    <t>10.5</t>
  </si>
  <si>
    <t>2014-15</t>
  </si>
  <si>
    <t>2021-22</t>
  </si>
  <si>
    <t>(0.5 - 100 ) Calculates mean: 27.85</t>
  </si>
  <si>
    <t>0.001–2.7</t>
  </si>
  <si>
    <t>low</t>
  </si>
  <si>
    <t>Rhône: 1030–1157 m³/s; Ain: 177–346 m³/s</t>
  </si>
  <si>
    <t>2015-2016</t>
  </si>
  <si>
    <t>2016-17</t>
  </si>
  <si>
    <t>Moderate- High</t>
  </si>
  <si>
    <t>2023-24</t>
  </si>
  <si>
    <t>2022-24</t>
  </si>
  <si>
    <t>2014-17</t>
  </si>
  <si>
    <t>2012-14</t>
  </si>
  <si>
    <t>0.42 - 1.41</t>
  </si>
  <si>
    <t>0.3  -1</t>
  </si>
  <si>
    <t>0.006 - 0.010</t>
  </si>
  <si>
    <t>0.041 - 1.459</t>
  </si>
  <si>
    <t>2019; 2022</t>
  </si>
  <si>
    <t>2016 - 2017</t>
  </si>
  <si>
    <t>Bank + Bridge</t>
  </si>
  <si>
    <t>Bottle</t>
  </si>
  <si>
    <t>Both (Spatial + Temporal)</t>
  </si>
  <si>
    <t>Laboratory</t>
  </si>
  <si>
    <t xml:space="preserve">&lt; 24 </t>
  </si>
  <si>
    <t>&lt; 24</t>
  </si>
  <si>
    <t>0.15–0.80; mean - 0.57</t>
  </si>
  <si>
    <t>0.15–0.80</t>
  </si>
  <si>
    <t>Spatial Only</t>
  </si>
  <si>
    <t>On site ex situ</t>
  </si>
  <si>
    <t>Immediate</t>
  </si>
  <si>
    <t>Boat + Bank</t>
  </si>
  <si>
    <t>&lt;12</t>
  </si>
  <si>
    <t>17;34</t>
  </si>
  <si>
    <t>170;340</t>
  </si>
  <si>
    <t>Bank</t>
  </si>
  <si>
    <t>Pump</t>
  </si>
  <si>
    <t>On site in situ</t>
  </si>
  <si>
    <t>Boat</t>
  </si>
  <si>
    <t>&lt;24</t>
  </si>
  <si>
    <t>1.5-2</t>
  </si>
  <si>
    <t>6-8</t>
  </si>
  <si>
    <t>Sampling bag</t>
  </si>
  <si>
    <t>1(Lake);3(Impoundment);6(River)</t>
  </si>
  <si>
    <t>135(Lake); 45 (Impoundment); 180(River)</t>
  </si>
  <si>
    <t>50 (P1); 34 (P2)</t>
  </si>
  <si>
    <t>2 L collected; 1 L filtered/sample</t>
  </si>
  <si>
    <t>0.3 - 1</t>
  </si>
  <si>
    <t>&lt;5</t>
  </si>
  <si>
    <t>0.15 - 0.90</t>
  </si>
  <si>
    <t>Syringe/ Falcon tubes</t>
  </si>
  <si>
    <t>4 - 8</t>
  </si>
  <si>
    <t>pump</t>
  </si>
  <si>
    <t>bottle</t>
  </si>
  <si>
    <t>4-8</t>
  </si>
  <si>
    <t>0.25</t>
  </si>
  <si>
    <t>1-2</t>
  </si>
  <si>
    <t>&lt;48</t>
  </si>
  <si>
    <t>&lt;8</t>
  </si>
  <si>
    <t>2–3</t>
  </si>
  <si>
    <t>1-6</t>
  </si>
  <si>
    <t>0.3 - 1 (Mean ~ 0.758)</t>
  </si>
  <si>
    <t>2</t>
  </si>
  <si>
    <t>&lt;2</t>
  </si>
  <si>
    <t>Bucket</t>
  </si>
  <si>
    <t>&lt;1</t>
  </si>
  <si>
    <t>Boat + Bridge</t>
  </si>
  <si>
    <t>0.5 - 8</t>
  </si>
  <si>
    <t>1.5 - 2</t>
  </si>
  <si>
    <t>01-3</t>
  </si>
  <si>
    <t>up to 100</t>
  </si>
  <si>
    <t>Streams = 2 (sites 18–19); Rivers = 3 (sites 20–22)</t>
  </si>
  <si>
    <t>&lt;6</t>
  </si>
  <si>
    <t>3 (4 x 3 replicated from one single sample of 15 L)</t>
  </si>
  <si>
    <t>Water: 3 positions/site (Left, Center, Right); Sediment: 5 replicates per position</t>
  </si>
  <si>
    <t>0.01, 0.1, 0.5, 1, 2, and 4 L tested</t>
  </si>
  <si>
    <t>~7.61</t>
  </si>
  <si>
    <t>1 - 2.5</t>
  </si>
  <si>
    <t>2 - 5</t>
  </si>
  <si>
    <t>0.1 - 0.5</t>
  </si>
  <si>
    <t>On-Site ex situ</t>
  </si>
  <si>
    <t>Immdediate</t>
  </si>
  <si>
    <t>0.3 - 0.5</t>
  </si>
  <si>
    <t>1.5 - 2.5</t>
  </si>
  <si>
    <t>Open membrane</t>
  </si>
  <si>
    <t>Cellulose  Nitrate</t>
  </si>
  <si>
    <t>0.45 µm</t>
  </si>
  <si>
    <t>Encapsulated</t>
  </si>
  <si>
    <t>Polyethersulphone (PES)</t>
  </si>
  <si>
    <t>0.8 µm</t>
  </si>
  <si>
    <t>Glass Fibre</t>
  </si>
  <si>
    <t>1.2 µm</t>
  </si>
  <si>
    <t>Cellulose  Acetate</t>
  </si>
  <si>
    <t>0.22 µm</t>
  </si>
  <si>
    <t>0.7 µm</t>
  </si>
  <si>
    <t>1 µm</t>
  </si>
  <si>
    <t>0.2 µm</t>
  </si>
  <si>
    <t>0.45 µm (P2) + 1 µm (P1)</t>
  </si>
  <si>
    <t>1.2 µm + 0.2 µm (dual filter)</t>
  </si>
  <si>
    <t>Samples transported in sterile bottles; preservation before filtration not specifically reported</t>
  </si>
  <si>
    <t>Mixed_cellulose_ester_MCE</t>
  </si>
  <si>
    <t>1.5 µm</t>
  </si>
  <si>
    <t>Cellulose</t>
  </si>
  <si>
    <t>Polycarbonate_PC + Mixed_cellulose_ester_MCE</t>
  </si>
  <si>
    <t>0.2 µm (PCA), 0.45 µm (MCE)</t>
  </si>
  <si>
    <t>Polycarbonate_PC</t>
  </si>
  <si>
    <t>1.0 µm</t>
  </si>
  <si>
    <t>Polyvinylidene fluoride(PVDF)</t>
  </si>
  <si>
    <t>Nitrocellulose</t>
  </si>
  <si>
    <t>Glass fibre GF/D + Sterivex</t>
  </si>
  <si>
    <t>2.7 µm (GF/D) + 0.22 µm (Sterivex)</t>
  </si>
  <si>
    <t>Polycarbonate PC</t>
  </si>
  <si>
    <t>12S rRNA (mtDNA)</t>
  </si>
  <si>
    <t>MiFish-U</t>
  </si>
  <si>
    <t>COI</t>
  </si>
  <si>
    <t>Species-specific(Custom TaqMan assay (Alosa spp.))</t>
  </si>
  <si>
    <t>12S rRNA</t>
  </si>
  <si>
    <t>MiFish (Miya et al. 2015)</t>
  </si>
  <si>
    <t xml:space="preserve">140-200 </t>
  </si>
  <si>
    <t>Teleo</t>
  </si>
  <si>
    <t>Species-specific primers (Ang-COI_F / Ang-COI_R)</t>
  </si>
  <si>
    <t>Universal COI</t>
  </si>
  <si>
    <t>Species-specific</t>
  </si>
  <si>
    <t>58-295</t>
  </si>
  <si>
    <t>Qiagen DNeasy Blood &amp; Tissue</t>
  </si>
  <si>
    <t>teleo_F/teleo_R</t>
  </si>
  <si>
    <t>12S rDNA</t>
  </si>
  <si>
    <t>16S rRNA</t>
  </si>
  <si>
    <t>Taxon-specific primers (Ga-16S, MiSa-16S, etc.)</t>
  </si>
  <si>
    <t>113 - 192</t>
  </si>
  <si>
    <t>12S mtDNA</t>
  </si>
  <si>
    <t>12S-V5</t>
  </si>
  <si>
    <t>Species-specific (Sil1-F / Sil1-R / probe)</t>
  </si>
  <si>
    <t>COI + NADH + 16S rRNA</t>
  </si>
  <si>
    <t>Species-specific: Gustavson et al. 2015 assay; Wilcox et al. 2015 assay; Zaiko et al. 2015 nested-PCR primers</t>
  </si>
  <si>
    <t>61 bp (COI); 102 bp (NADH); 377 bp</t>
  </si>
  <si>
    <t>60 (Valentini et al., 2016)</t>
  </si>
  <si>
    <t>12S rRNA + COI</t>
  </si>
  <si>
    <t>MiFish 12S; Fish_MiniE CO1</t>
  </si>
  <si>
    <t>mtDNA D-loop</t>
  </si>
  <si>
    <t>Species-specific:AaD-F / AaD-R; nested primers AaDN-F / AaDN-R73</t>
  </si>
  <si>
    <t>Cytb</t>
  </si>
  <si>
    <t>Species-specific: Alcyt forward / Alcyt reverse + TaqMan probe</t>
  </si>
  <si>
    <t>163–185</t>
  </si>
  <si>
    <t>Species-specific: SL_eDNA_Gobies_F1 / SL_eDNA_Gobies_R1</t>
  </si>
  <si>
    <t>Hänfling et al. (2016) cyt b primers; fwd: AAAAACCACCGTTGTTATTCAACTA; rev: GCDCCTCARAATGAYATTTGTCCTCA</t>
  </si>
  <si>
    <t>Cytb + 12S rRNA + 16S rRNA</t>
  </si>
  <si>
    <t>Multi-marker(L14735/H15149c; Ac12S; Ac16S)</t>
  </si>
  <si>
    <t>Cyt b: 413 bp; 12S: 385 bp; 16S: 330 bp</t>
  </si>
  <si>
    <t>12S rRNA + 16S rRNA</t>
  </si>
  <si>
    <t>MiFish 12S primers + chordate 16S primers</t>
  </si>
  <si>
    <t>Tele02</t>
  </si>
  <si>
    <t>E.Z.N.A. Water DNA Kit</t>
  </si>
  <si>
    <t>Tele02_F/Tele02_R; MlCOIintF/JgHCO2198</t>
  </si>
  <si>
    <t>Leray</t>
  </si>
  <si>
    <t>nd5 (Salmo trutta), cytb (T. thymallus), 12S rRNA for metabarcoding</t>
  </si>
  <si>
    <t>Species-specific: strutta_nd5; tthymallus_cytb; teleo primers</t>
  </si>
  <si>
    <t>117 bp (S. trutta), 70 bp (T. thymallus), ~60 bp teleo metabarcoding</t>
  </si>
  <si>
    <t>Multi-marker: L14735/H15149c, Ac12S, Am12S, Ac16S</t>
  </si>
  <si>
    <t>Species-specific: TaqMan qPCR assays</t>
  </si>
  <si>
    <t>Trout: 95 bp; Salmon: 96 bp; Eel: 101 bp</t>
  </si>
  <si>
    <t>Mitochondrial 12S</t>
  </si>
  <si>
    <t>Species-specific (Custom brook trout Cytb assay (BRT Cytb-F / BRT Cytb-R))</t>
  </si>
  <si>
    <t>Species-specific: Vim-vim-S676/Vim-vim-A677 and Alb-men-S662/Alb-men-A662</t>
  </si>
  <si>
    <t>177 bp (Vimba vimba), 200 bp (Alburnus mento)</t>
  </si>
  <si>
    <t>16S rRNA + COI</t>
  </si>
  <si>
    <t>82–128 bp</t>
  </si>
  <si>
    <t>mtDNA Cytochrome c oxidase III (COIII/CO3)</t>
  </si>
  <si>
    <t>SECO3 (species-specific)</t>
  </si>
  <si>
    <t>Teleo (Riaz)</t>
  </si>
  <si>
    <t>163-185</t>
  </si>
  <si>
    <t>mtDNA (unspecified region)</t>
  </si>
  <si>
    <t>Fish-F4/R4</t>
  </si>
  <si>
    <t>MiFish-U + Universal COI</t>
  </si>
  <si>
    <t xml:space="preserve">MiFish-U </t>
  </si>
  <si>
    <t>MiFish-6N-U-F/R</t>
  </si>
  <si>
    <t>MiFish-U-F / MiFish-U-R</t>
  </si>
  <si>
    <t>Teleostei</t>
  </si>
  <si>
    <t>60-65</t>
  </si>
  <si>
    <t>Metabarcoding</t>
  </si>
  <si>
    <t>Qpcr</t>
  </si>
  <si>
    <t>Species-specific PCR</t>
  </si>
  <si>
    <t>Species-specific PCR Endpoint PCR + ddPCR</t>
  </si>
  <si>
    <t>Endpoint PCR</t>
  </si>
  <si>
    <t>qPCR + ddPCR</t>
  </si>
  <si>
    <t>Species-specific PCR: qPCR + Nested PCR-RFLP</t>
  </si>
  <si>
    <t>Species-specific:Nested PCR + eDNA haplotyping/metabarcoding</t>
  </si>
  <si>
    <t>Species-specific PCR: qPCR</t>
  </si>
  <si>
    <t>Species-specific PCR endpoint PCR</t>
  </si>
  <si>
    <t>Species-specific PCR: ddPCR + metabarcoding</t>
  </si>
  <si>
    <t>Illumina MiSeq (2 x 300 bp)</t>
  </si>
  <si>
    <t>ASV</t>
  </si>
  <si>
    <t>DADA2</t>
  </si>
  <si>
    <t>76% identity (blast filtering step)</t>
  </si>
  <si>
    <t>Illumina MiSeq</t>
  </si>
  <si>
    <t>ZOTUs</t>
  </si>
  <si>
    <t>NatureMetrics custom pipeline; bcl2fastq, cutadapt, USEARCH, UNOISE, BLAST</t>
  </si>
  <si>
    <t>Reads mapped at 97%; species-level cut-off 97%; confident species ID ≥98%; low abundance removed if &lt;0.05% or &lt;10 reads</t>
  </si>
  <si>
    <t>Illumina MiSeq (1 x 300 bp)</t>
  </si>
  <si>
    <t>OTU</t>
  </si>
  <si>
    <t>OBITools + ecoTag</t>
  </si>
  <si>
    <t>Read filtering (&lt;100 reads); length &gt;150 bp; quality filter (Q&gt;3); no % identity threshold reported</t>
  </si>
  <si>
    <t>Illumina HiSeq2500(2 x 125 bp)</t>
  </si>
  <si>
    <t>MOTU</t>
  </si>
  <si>
    <t>OBITools</t>
  </si>
  <si>
    <t>98% identity</t>
  </si>
  <si>
    <t>Sanger sequencing</t>
  </si>
  <si>
    <t>USEARCH + FLASH + Cutadapt + PRINSEQ + UNOISE3 + BLAST + SINTAX</t>
  </si>
  <si>
    <t>99% clustering</t>
  </si>
  <si>
    <t>Illumina MiSeq + HiSeq</t>
  </si>
  <si>
    <t>≥98% similarity + 0.0003 filtering</t>
  </si>
  <si>
    <t>Illumina MiSeq (2 x 100 bp)</t>
  </si>
  <si>
    <t>&lt;20 bp removed; reads &lt;10 removed; MOTUs &lt;98% similarity removed; frequency &lt;0.003 per taxon/run removed</t>
  </si>
  <si>
    <t>PEAR + OBITools + USEARCH + MEGAN</t>
  </si>
  <si>
    <t>≥10 reads + 80% MEGAN coverage</t>
  </si>
  <si>
    <t>Illumina HiSeq( 2 x 125 bp)</t>
  </si>
  <si>
    <t>Illumina MiSeq ( 2 x 250 bp)</t>
  </si>
  <si>
    <t>Cutadapt ; DADA2 ; BLAST ; phylogenetic validation (RAxML)</t>
  </si>
  <si>
    <t>Length ≥165 bp
Quality &gt;30
Identity ≥90%
Coverage ≥90%</t>
  </si>
  <si>
    <t>Illumina NextSeq</t>
  </si>
  <si>
    <t>OBITools; illuminapairedend; ngsfilter; obisplit; obiclean; ecotag</t>
  </si>
  <si>
    <t>Sequences &lt;20 bp removed; occurrences &lt;10 reads/sample removed; sequences &lt;0.001 frequency/library removed</t>
  </si>
  <si>
    <t>Illumina HiSeq2500 (2 x 125 bp)</t>
  </si>
  <si>
    <t>ecotag</t>
  </si>
  <si>
    <t>MOTUs with &lt;98% similarity removed; sequences with occurrence frequency &lt;0.001 discarded</t>
  </si>
  <si>
    <t>metaBEAT v0.97.13</t>
  </si>
  <si>
    <t>BLAST lowest common ancestor; minimum identity 98%; low-frequency threshold 0.1%</t>
  </si>
  <si>
    <t>Illumina MiSeq (2 x 150 bp)</t>
  </si>
  <si>
    <t>ASV for 12S (DADA2); OTU-like clustering/reference assignment for CO1</t>
  </si>
  <si>
    <t>DADA2 (12S); mBRAVE + AdapterRemoval + FastQC (CO1)</t>
  </si>
  <si>
    <t>CO1: &gt;98% reference match; reads &lt;200 bp or &gt;500 bp removed; QV filtering applied. 12S: ≥50% bootstrap confidence; &gt;2 expected errors removed</t>
  </si>
  <si>
    <t>Illumina MiSeq (2×250 bp)</t>
  </si>
  <si>
    <t>Denoising / representative sequence variants (ASV-like approach using DADA2)</t>
  </si>
  <si>
    <t>cutadapt + DADA2 + MAFFT + PopArt</t>
  </si>
  <si>
    <t>maxEE=2; minLen=250; truncQ=2; haplotypes &lt;1% total reads removed</t>
  </si>
  <si>
    <t>Usearch+BLASTn</t>
  </si>
  <si>
    <t>OTU clustering at 97%; species assignment ≥97%; genus ≥95%; sequences &lt;0.1% removed</t>
  </si>
  <si>
    <t>Illumina MiSeq, 2 × 250 bp, MiSeq v3</t>
  </si>
  <si>
    <t>cutadapt + DADA2 + DECIPHER/IDTAXA</t>
  </si>
  <si>
    <t>IDTAXA confidence threshold 60; retained ASVs occurring in ≥2 samples and ≥10 reads overall</t>
  </si>
  <si>
    <t>Illumina MiSeq v3 paired-end 2×250 bp</t>
  </si>
  <si>
    <t>metaBEAT pipeline + Trimmomatic + FLASH + VSEARCH + BLAST</t>
  </si>
  <si>
    <t>≥80% identity across ≥80% read length; clusters ≥5 reads retained</t>
  </si>
  <si>
    <t>Illumina MiSeq PE150</t>
  </si>
  <si>
    <t>Sequence clusters (closer to OTU-style clustering)</t>
  </si>
  <si>
    <t>Barque v1.7.3</t>
  </si>
  <si>
    <t>97% identity threshold; minimum 5-read threshold</t>
  </si>
  <si>
    <t>Trimmomatic; FLASH; QIIME2; Usearch</t>
  </si>
  <si>
    <t>Similarity ≥97%; coverage ≥0.9; e≤10⁻⁵</t>
  </si>
  <si>
    <t>MGI-G99; Illumina MiSeq PE300</t>
  </si>
  <si>
    <t>Trimmomatic; in-house Perl scripts</t>
  </si>
  <si>
    <t>Q20 sliding window; reads &lt;50 bp removed; overlap &gt;10 bp</t>
  </si>
  <si>
    <t>Illumina MiSeq (2 × 300 bp)</t>
  </si>
  <si>
    <t>FastQC; USEARCH ; FLASH ;Cutadapt ; PRINSEQ-lite ; UNOISE3 ; SINTAX</t>
  </si>
  <si>
    <t>Overlap min 15 bp; size 100–500 bp; GC 30–70%; mean quality 20; clustering at 99% identity</t>
  </si>
  <si>
    <t>Sequences &lt;20 bp removed; &lt;10 reads removed; occurrence frequency &lt;0.001 discarded</t>
  </si>
  <si>
    <t>Illumina HiSeq 2500</t>
  </si>
  <si>
    <t>&lt;98% similarity removed; sequences &lt;20 bp removed; &lt;10 reads removed</t>
  </si>
  <si>
    <t>ASV / zOTU</t>
  </si>
  <si>
    <t>PEAR + USEARCH v10 + UNOISE2 + BLAST + MEGAN</t>
  </si>
  <si>
    <t>Reads with expected errors &lt;0.5 retained</t>
  </si>
  <si>
    <t>Illumina NovaSeq PE250</t>
  </si>
  <si>
    <t>fastp + cutadapt + DADA2</t>
  </si>
  <si>
    <t>Reads &lt;45 bp and &gt;85 bp removed; ASVs &lt;100 reads discarded; &lt;98% identity assigned to genus</t>
  </si>
  <si>
    <t>Trimmomatic, USEARCH, HMMER, SAP, OBITools, Clustal Omega</t>
  </si>
  <si>
    <t>OTU clustering at 97% similarity; reads &lt;50 bp removed; expected errors &gt;0.5 discarded</t>
  </si>
  <si>
    <t>MOTUs</t>
  </si>
  <si>
    <t>Minimum score 40; sequences &lt;20 bp or &lt;10 reads removed; frequency threshold &lt;0.001 removed</t>
  </si>
  <si>
    <t>Minimum score 40 for paired-end assembly; sequences &lt;20 bp removed; occurrence &lt;10 removed; MOTUs &lt;98% similarity removed; frequency &lt;0.001 removed</t>
  </si>
  <si>
    <t>Illumina MiSeq (2×100 bp)</t>
  </si>
  <si>
    <t>Sequences &lt;20 bp removed; occurrences &lt;10 removed; MOTUs &lt;98% similarity removed</t>
  </si>
  <si>
    <t>Illumina HiSeq3000</t>
  </si>
  <si>
    <t>OTU-like sequence clustering / dereplicated sequence variants</t>
  </si>
  <si>
    <t>PEAR + Cutadapt + VSEARCH + OBITools</t>
  </si>
  <si>
    <t>Max expected error 0.5; ≥96% identity threshold; minimum overlap 20 nt</t>
  </si>
  <si>
    <t>QIIME2 2019.4 + VSEARCH</t>
  </si>
  <si>
    <t>97% similarity threshold</t>
  </si>
  <si>
    <t>Illumina PE250</t>
  </si>
  <si>
    <t>Trimmomatic; FLASH ; USEARCH ; UPARSE ; UCHIME ; BLAST</t>
  </si>
  <si>
    <t>OTU clustering at 97%; blastn default 1e−10; reads ≤5 removed as false positives; sequences &lt;100 bp removed</t>
  </si>
  <si>
    <t>Cutadapt, PEAR, PRINSEQ, UPARSE, BLASTn</t>
  </si>
  <si>
    <t>OTU clustering at 97%; BLAST ≥90% identity and ≥90% query coverage</t>
  </si>
  <si>
    <t>Illumina MiSeq v3 2×300 bp</t>
  </si>
  <si>
    <t>OTU clustering</t>
  </si>
  <si>
    <t>OTU clustering at ≥97% similarity</t>
  </si>
  <si>
    <t>Illumina MiSeq (2×150 bp)</t>
  </si>
  <si>
    <t>OTU-like / USEARCH clustering approach</t>
  </si>
  <si>
    <t>USEARCH v10.0.240</t>
  </si>
  <si>
    <t>Illumina MiSeq v2 nano (2 × 150 bp PE)</t>
  </si>
  <si>
    <t>USEARCH v11.0.667 pipeline</t>
  </si>
  <si>
    <t>Q ≥30; min length 100 bp; taxonomic assignment threshold 95% identity</t>
  </si>
  <si>
    <t>Illumina NextSeq 2000</t>
  </si>
  <si>
    <t>DADA2 + mothur</t>
  </si>
  <si>
    <t>RDP classifier cutoff = 75; ASVs &lt;10 reads and &lt;0.1% removed</t>
  </si>
  <si>
    <t>Illumina MiSeq v3 (2 × 300 bp)</t>
  </si>
  <si>
    <t>Barque v1.7.4</t>
  </si>
  <si>
    <t>97% minimum similarity threshold; reads &lt;0.001%/sample removed</t>
  </si>
  <si>
    <t>Illumina MiSeq (2 × 150 bp)</t>
  </si>
  <si>
    <t>Barque v1.7.4 pipeline</t>
  </si>
  <si>
    <t>Species ≥98%; genus ≥95%; phylum ≥92%; query coverage ≥60%</t>
  </si>
  <si>
    <t>Illumina MiSeq (150 bp paired-end)</t>
  </si>
  <si>
    <t>VSEARCH + cutadapt</t>
  </si>
  <si>
    <t>OTU clustering at 100% identity; SINTAX bootstrap cutoff 95%; BLAST ≥95% similarity</t>
  </si>
  <si>
    <t>Electrofishing + fyke + seine</t>
  </si>
  <si>
    <t>15 - 20</t>
  </si>
  <si>
    <t>9 - 25</t>
  </si>
  <si>
    <t>0.6 - 1.7</t>
  </si>
  <si>
    <t>0 - 12</t>
  </si>
  <si>
    <t>Yes</t>
  </si>
  <si>
    <t>Historical records ( Kuljanishvili et al. (2020, 2021); Epitashvili et al. (2020), Elanidze (1956))</t>
  </si>
  <si>
    <t>Electrofishing</t>
  </si>
  <si>
    <t>5-12</t>
  </si>
  <si>
    <t>3-6</t>
  </si>
  <si>
    <t>1.7 – 2.0</t>
  </si>
  <si>
    <t>Rotenone + gillnets</t>
  </si>
  <si>
    <t>21 - 60</t>
  </si>
  <si>
    <t>0.57 - 0.83</t>
  </si>
  <si>
    <t>Kicknet sampling</t>
  </si>
  <si>
    <t>1.06</t>
  </si>
  <si>
    <t>Gill nets + rotenone</t>
  </si>
  <si>
    <t>No</t>
  </si>
  <si>
    <t>Electrofishing + gillnets</t>
  </si>
  <si>
    <t>21;16;19</t>
  </si>
  <si>
    <t>13;10;14</t>
  </si>
  <si>
    <t>1.62;1.60;1.36</t>
  </si>
  <si>
    <t>12;10;14</t>
  </si>
  <si>
    <t>Hydroacoustic surveys</t>
  </si>
  <si>
    <t>1</t>
  </si>
  <si>
    <t>Equal</t>
  </si>
  <si>
    <t>Electrofishing (annual + long-term)</t>
  </si>
  <si>
    <t>16 - 24</t>
  </si>
  <si>
    <t>10-19</t>
  </si>
  <si>
    <t>1.4-1.8</t>
  </si>
  <si>
    <t>08-17</t>
  </si>
  <si>
    <t>Seine netting + electrofishing</t>
  </si>
  <si>
    <t>1.56</t>
  </si>
  <si>
    <t>Electrofishing + multi-gear (tidal)</t>
  </si>
  <si>
    <t>23</t>
  </si>
  <si>
    <t>1.17</t>
  </si>
  <si>
    <t>Electrofishing (fishless confirmation only)</t>
  </si>
  <si>
    <t>Minnow traps + historical monitoring</t>
  </si>
  <si>
    <t>Histprical records</t>
  </si>
  <si>
    <t>Seining + electrofishing (RAM protocol)</t>
  </si>
  <si>
    <t>1.21</t>
  </si>
  <si>
    <t>1.24</t>
  </si>
  <si>
    <t>16 - 18</t>
  </si>
  <si>
    <t>Net fishing</t>
  </si>
  <si>
    <t>1.8</t>
  </si>
  <si>
    <t>Kicknet sampling (macroinvertebrates)</t>
  </si>
  <si>
    <t>0.89</t>
  </si>
  <si>
    <t>Electrofishing (historical)</t>
  </si>
  <si>
    <t>Rhône: 39; Ain: 34; Tier: 25</t>
  </si>
  <si>
    <t>Rhône: 22; Ain: 18; Tier: 14</t>
  </si>
  <si>
    <t>Rhône: 1.77; Ain: 1.89; Tier: 1.79</t>
  </si>
  <si>
    <t>1.11</t>
  </si>
  <si>
    <t>yes</t>
  </si>
  <si>
    <t>1.33</t>
  </si>
  <si>
    <t>1.38</t>
  </si>
  <si>
    <t>26 - 33</t>
  </si>
  <si>
    <t>12.3 - 20.6</t>
  </si>
  <si>
    <t>1.4 - 2.37</t>
  </si>
  <si>
    <t>20-29</t>
  </si>
  <si>
    <t>Electrofishing + netting + historical</t>
  </si>
  <si>
    <t>Streams: 11–14 taxa; Rivers: 10–15 taxa</t>
  </si>
  <si>
    <t>Streams: 10–13 taxa; Rivers: 8–12 taxa</t>
  </si>
  <si>
    <t>~1.08–1.30</t>
  </si>
  <si>
    <t>Approx. 7–11</t>
  </si>
  <si>
    <t>1.55</t>
  </si>
  <si>
    <t>Gillnets and cages</t>
  </si>
  <si>
    <t>1.20</t>
  </si>
  <si>
    <t>36–41</t>
  </si>
  <si>
    <t>Electrofishing and gillnets</t>
  </si>
  <si>
    <t>Cage fishing nets + supplementary nets</t>
  </si>
  <si>
    <t>11.11</t>
  </si>
  <si>
    <t>09 - 10</t>
  </si>
  <si>
    <t>Hand nets, casting nets, scoop nets</t>
  </si>
  <si>
    <t>16</t>
  </si>
  <si>
    <t>Hand nets, net pots, bottle traps</t>
  </si>
  <si>
    <t>1.12</t>
  </si>
  <si>
    <t>Mean 7.93 ± 1.94</t>
  </si>
  <si>
    <t>Mean 4.28 ± 1.68</t>
  </si>
  <si>
    <t>~1.85</t>
  </si>
  <si>
    <t>eDNA detected all fish species captured by TEF</t>
  </si>
  <si>
    <t>1.89</t>
  </si>
  <si>
    <t>Seine netting</t>
  </si>
  <si>
    <t>1.76</t>
  </si>
  <si>
    <t>1.42</t>
  </si>
  <si>
    <t>Samples refrigerated at 5°C before filtration</t>
  </si>
  <si>
    <t>Samples kept on ice, then frozen at −80°C before filtration</t>
  </si>
  <si>
    <t>Samples kept on ice before filtration</t>
  </si>
  <si>
    <t>Samples held at 4°C before filtration</t>
  </si>
  <si>
    <t>Samples refrigerated before filtration; temperature not specified</t>
  </si>
  <si>
    <t>Samples preserved with BAC 0.01% before filtration</t>
  </si>
  <si>
    <t>Samples transported/stored in a cold box before filtration</t>
  </si>
  <si>
    <t>Samples transported on ice and stored at 4°C before filtration</t>
  </si>
  <si>
    <t>Water kept before filtration and filtered within 8 h; preservation not specified</t>
  </si>
  <si>
    <t>Samples stored in Styrofoam cooling box with cooling elements before filtration</t>
  </si>
  <si>
    <t>Samples transported in cooling boxes before filtration</t>
  </si>
  <si>
    <t>Samples transported on ice before filtration</t>
  </si>
  <si>
    <t>Samples kept cold on ice packs before filtration</t>
  </si>
  <si>
    <t>Samples transported cold to laboratory before filtration</t>
  </si>
  <si>
    <t>Samples stored at −20°C in light-proof containers before filtration</t>
  </si>
  <si>
    <t>Samples stored on ice at approximately 4°C before filtration</t>
  </si>
  <si>
    <t>Samples preserved with benzalkonium chloride to 0.1% final concentration before filtration</t>
  </si>
  <si>
    <t>Filters placed in bead tube and refrigerated after filtration</t>
  </si>
  <si>
    <t>Filters preserved in lysis buffer after filtration; storage temperature not specified</t>
  </si>
  <si>
    <t>Filters stored at −20°C after filtration</t>
  </si>
  <si>
    <t>Filters preserved in CL1 lysis buffer after filtration; 80 mL buffer volume reported</t>
  </si>
  <si>
    <t>Filters preserved in Tris–EDTA–NaCl–sarcosine lysis buffer after filtration</t>
  </si>
  <si>
    <t>Filters sealed with parafilm and stored at −20°C after filtration</t>
  </si>
  <si>
    <t>Filters stored in TE buffer at −20°C after filtration</t>
  </si>
  <si>
    <t>Filters preserved or transported on dry ice after filtration</t>
  </si>
  <si>
    <t>Filters kept on ice during filtration, then either extracted immediately or DNA stored at −80°C</t>
  </si>
  <si>
    <t>Filters preserved in Longmire buffer after filtration; storage temperature not specified</t>
  </si>
  <si>
    <t>Filters stored at −80°C after filtration</t>
  </si>
  <si>
    <t>Filters backflushed with ethanol and sodium acetate, then stored at −20°C after filtration</t>
  </si>
  <si>
    <t>Filters stored in CTAB buffer at −20°C after filtration</t>
  </si>
  <si>
    <t>Filters frozen after filtration; exact temperature not specified</t>
  </si>
  <si>
    <t>Filters preserved in ethanol after filtration; storage temperature not specified</t>
  </si>
  <si>
    <t>Filters transported at 4°C, then stored at −20°C after filtration</t>
  </si>
  <si>
    <t>Filters stored in anhydrous ethanol, then transferred to −80°C after filtration</t>
  </si>
  <si>
    <t>Filters folded, sealed with silica desiccant, protected from sunlight, then transferred to −20°C freezer within one week</t>
  </si>
  <si>
    <t>Filters stored at −80°C in sterile 5 mL centrifuge tubes after filtration</t>
  </si>
  <si>
    <t>Filters stored at −25°C after filtration</t>
  </si>
  <si>
    <t>Filters preserved in 99% ethanol and stored at 4°C after filtration</t>
  </si>
  <si>
    <t>Filters stored in CTAB buffer and frozen at −20°C after filtration</t>
  </si>
  <si>
    <t>DNeasy Blood &amp; Tissue Kit (Qiagen)</t>
  </si>
  <si>
    <t>PowerWater DNA Isolation Kit</t>
  </si>
  <si>
    <t>DNeasy PowerWater Kit (Qiagen)</t>
  </si>
  <si>
    <t>PowerWater DNA Extraction Kit (MoBio)</t>
  </si>
  <si>
    <t>NucleoSpin Soil Kit + DNeasy Blood &amp; Tissue Kit (Qiagen)</t>
  </si>
  <si>
    <t>DNeasy PowerLyzer PowerSoil Kit (Qiagen)</t>
  </si>
  <si>
    <t>DNeasy Blood &amp; Tissue Kit (Qiagen; P1 protocol) + NucleoSpin Soil Kit (Macherey-Nagel)</t>
  </si>
  <si>
    <t>Modified chloroform–isoamyl alcohol extraction</t>
  </si>
  <si>
    <t>Hybrid extraction: DNeasy Blood &amp; Tissue Kit (Qiagen) + NucleoSpin Soil Kit</t>
  </si>
  <si>
    <t>E.Z.N.A. Mag-Bind Soil DNA Kit</t>
  </si>
  <si>
    <t>Phenol–chloroform extraction</t>
  </si>
  <si>
    <t>DNeasy Blood &amp; Tissue Kit (Qiagen) + Zymo OneStep PCR Inhibitor Removal Kit</t>
  </si>
  <si>
    <t>Nexttec 1-Step DNA Isolation Kit for Tissues &amp; Cells</t>
  </si>
  <si>
    <t>BioSprint 96 Blood &amp; Tissue protocol (Qiagen)</t>
  </si>
  <si>
    <t>Omega Soil DNA Kit (D5625-01)</t>
  </si>
  <si>
    <t>DNeasy Blood &amp; Tissue Kit (Qiagen; aqueous eDNA) + PowerSoil DNA Isolation Kit</t>
  </si>
  <si>
    <t>DNeasy PowerSoil Pro Kit (Qiagen)</t>
  </si>
  <si>
    <t>Chloroform-based CTAB extraction; final elution using Qiagen DNeasy kit</t>
  </si>
  <si>
    <t>Min Pore
(µm)</t>
  </si>
  <si>
    <t>0.45</t>
  </si>
  <si>
    <t>0.8</t>
  </si>
  <si>
    <t>1.2</t>
  </si>
  <si>
    <t>0.22</t>
  </si>
  <si>
    <t>0.7</t>
  </si>
  <si>
    <t>0.2</t>
  </si>
  <si>
    <t>1.5</t>
  </si>
  <si>
    <t>Max Pore
(µm)</t>
  </si>
  <si>
    <t>2.7</t>
  </si>
  <si>
    <t>Pre-filter /
Sequential</t>
  </si>
  <si>
    <t>Qiagen PowerWater</t>
  </si>
  <si>
    <t>MoBio PowerWater</t>
  </si>
  <si>
    <t>Qiagen DNeasy Blood &amp; Tissue + NucleoSpin Soil</t>
  </si>
  <si>
    <t>Qiagen PowerLyzer PowerSoil</t>
  </si>
  <si>
    <t>Organic / solvent-based extraction</t>
  </si>
  <si>
    <t>OMEGA / E.Z.N.A.</t>
  </si>
  <si>
    <t>Nexxtec 1-step</t>
  </si>
  <si>
    <t>Qiagen DNeasy Blood &amp; Tissue + Qiagen PowerSoil</t>
  </si>
  <si>
    <t>Qiagen PowerSoil Pro</t>
  </si>
  <si>
    <t>ND5 + Cytb + 12S rRNA</t>
  </si>
  <si>
    <t>COIII</t>
  </si>
  <si>
    <t>mtDNA unspecified</t>
  </si>
  <si>
    <t>MiFish</t>
  </si>
  <si>
    <t>Species-specific assay</t>
  </si>
  <si>
    <t>Teleo / Tele02</t>
  </si>
  <si>
    <t>COI metabarcoding</t>
  </si>
  <si>
    <t>Cytb metabarcoding</t>
  </si>
  <si>
    <t>Multi-marker assay</t>
  </si>
  <si>
    <t>MiFish + 16S metabarcoding</t>
  </si>
  <si>
    <t>Teleo / Tele02 + COI metabarcoding</t>
  </si>
  <si>
    <t>Species-specific assay + Teleo / Tele02</t>
  </si>
  <si>
    <t>MiFish + COI metabarcoding</t>
  </si>
  <si>
    <t>Teleostei primer</t>
  </si>
  <si>
    <t>Species specific (qPCR/ddPCR/Endpoint PCR)</t>
  </si>
  <si>
    <t>Both</t>
  </si>
  <si>
    <t>Illumina HiSeq</t>
  </si>
  <si>
    <t>MGI platform</t>
  </si>
  <si>
    <t>Illumina NovaSeq</t>
  </si>
  <si>
    <t>Other Illumina</t>
  </si>
  <si>
    <t>DADA2-based pipeline</t>
  </si>
  <si>
    <t>OBITools / ecoTag-based pipeline</t>
  </si>
  <si>
    <t>USEARCH / VSEARCH / QIIME / UPARSE-based pipeline</t>
  </si>
  <si>
    <t>Mixed multi-tool pipeline</t>
  </si>
  <si>
    <t>Barque / metaBEAT-based pipeline</t>
  </si>
  <si>
    <t>Length ≥165 bp; Quality &gt;30; Identity ≥90%; Coverage ≥90%</t>
  </si>
  <si>
    <t>CO1: &gt;98% reference match; reads &lt;200 bp or &gt;500 bp removed. 12S: ≥50% bootstrap confidence; &gt;2 expected errors removed</t>
  </si>
  <si>
    <t>Similarity ≥97%; coverage ≥0.9; e≤10−5</t>
  </si>
  <si>
    <t>OTU clustering at 97%; blastn default 1e−10; reads ≤5 removed; sequences &lt;100 bp removed</t>
  </si>
  <si>
    <t>Replicates per site (avg)</t>
  </si>
  <si>
    <t>Volume per sample (L) (avg)</t>
  </si>
  <si>
    <t>Total filtered volume per site(L) (avg)</t>
  </si>
  <si>
    <t>Number of sampling sites (avg)</t>
  </si>
  <si>
    <t>DNA extraction kit (Std)</t>
  </si>
  <si>
    <t>Target marker gene (Std)</t>
  </si>
  <si>
    <t>Primer system / assay (Std)</t>
  </si>
  <si>
    <t>Molecular detection approach (Std)</t>
  </si>
  <si>
    <t>Sequencing platform (Std)</t>
  </si>
  <si>
    <t>ASV/OTU method (Std)</t>
  </si>
  <si>
    <t>Bioinformatic pipeline (Std)</t>
  </si>
  <si>
    <t>Reference database (Std)</t>
  </si>
  <si>
    <t>Number of paired comparison sites (avg)</t>
  </si>
  <si>
    <t>eDNA-detected richness (avg)</t>
  </si>
  <si>
    <t>Conventionally detected richness (avg)</t>
  </si>
  <si>
    <t>eDNA/conventional richness ratio (avg)</t>
  </si>
  <si>
    <t>Shared species/taxa (avg)</t>
  </si>
  <si>
    <t>Year</t>
  </si>
  <si>
    <t>Count</t>
  </si>
  <si>
    <t>Category</t>
  </si>
  <si>
    <t>S3  Publication Year Distribution</t>
  </si>
  <si>
    <t>S4 Studies by Continent</t>
  </si>
  <si>
    <t>On-site in situ</t>
  </si>
  <si>
    <t>On-site ex situ</t>
  </si>
  <si>
    <t>Laboratory (off-site)</t>
  </si>
  <si>
    <t>Filter Type</t>
  </si>
  <si>
    <t>Total</t>
  </si>
  <si>
    <t>100%</t>
  </si>
  <si>
    <t>Amplicon Length Category</t>
  </si>
  <si>
    <t>Medium (101–200 bp)</t>
  </si>
  <si>
    <t>Not reported / not applicable</t>
  </si>
  <si>
    <t>Short (≤100 bp)</t>
  </si>
  <si>
    <t>Long (201–350 bp)</t>
  </si>
  <si>
    <t>Very long (&gt;350 bp)</t>
  </si>
  <si>
    <t>% of 58 studies</t>
  </si>
  <si>
    <t>Publish Year</t>
  </si>
  <si>
    <t>Continents</t>
  </si>
  <si>
    <t>Glass Fibre (GF)</t>
  </si>
  <si>
    <t>Cellulose Nitrate (CN)</t>
  </si>
  <si>
    <t>Mixed Cellulose Ester (MCE)</t>
  </si>
  <si>
    <t>Assess eDNA applicability on fish community structure in impounded/river systems using eDNA.</t>
  </si>
  <si>
    <t>2017-18 (May-June)</t>
  </si>
  <si>
    <t>2017-18 (May- June)</t>
  </si>
  <si>
    <t>River Teme 130; River Severn 354</t>
  </si>
  <si>
    <t>Glass fibre + Polyethersulphone</t>
  </si>
  <si>
    <t>Other</t>
  </si>
  <si>
    <t>% of 58 Studies</t>
  </si>
  <si>
    <t>S5 Site Selection Strategy</t>
  </si>
  <si>
    <t>Encapuslated</t>
  </si>
  <si>
    <t>Tolonen</t>
  </si>
  <si>
    <t>Finland</t>
  </si>
  <si>
    <t>To assess whether fish eDNA metabarcoding is suitable for monitoring nature-like bypass channels, estimate the flow-through of main-channel eDNA into bypasses, examine environmental effects on fish assemblages, and compare eDNA with electrofishing.</t>
  </si>
  <si>
    <t>0.575–2.000</t>
  </si>
  <si>
    <t>1.15–4.00</t>
  </si>
  <si>
    <t>Modified Longmire’s solution added to the filter housing; filters enclosed in sterile bags and promptly stored in a portable freezer</t>
  </si>
  <si>
    <t>140-200</t>
  </si>
  <si>
    <t>zOTUs</t>
  </si>
  <si>
    <t>NatureMetrics in-house eDNA analysis pipeline; bcl2fastq, USEARCH, Cutadapt, UNOISE and BLASTn</t>
  </si>
  <si>
    <t>Paired reads merged with USEARCH; primers removed using Cutadapt; sequences retained within 140–200 bp; expected error rate ≤0.01 per base; dereplication retained singletons; denoising with UNOISE to produce zOTUs. BLASTn hits required e-value ≤1 × 10⁻²⁰ and ≥90% query coverage. Minimum similarity thresholds were 99% for species, 97% for genus and 95% for higher taxonomic levels. Taxonomy was harmonised to the GBIF backbone.</t>
  </si>
  <si>
    <t>Backpack Electrofishing</t>
  </si>
  <si>
    <t>Is Edna a Higher-richness method</t>
  </si>
  <si>
    <t>Spatial</t>
  </si>
  <si>
    <t>NatureMetrics</t>
  </si>
  <si>
    <t>99% for species, 97% for genus and 95% for higher taxonomic levels</t>
  </si>
  <si>
    <t>Miscellaneous(Multiple amplicons)</t>
  </si>
  <si>
    <t>S8 Fitration Location (n = 58)</t>
  </si>
  <si>
    <t>S9 Filter Material</t>
  </si>
  <si>
    <t>S10 Pore size distribution (n=58)</t>
  </si>
  <si>
    <t>Studies using multiple filters were counted in each Filter material category</t>
  </si>
  <si>
    <t>Pore-size category</t>
  </si>
  <si>
    <t>Very fine, ≤0.22 µm</t>
  </si>
  <si>
    <t>Fine, 0.23–0.45 µm</t>
  </si>
  <si>
    <t>Medium, 0.46–0.80 µm</t>
  </si>
  <si>
    <t>Coarse, &gt;0.80 µm</t>
  </si>
  <si>
    <t>Extraction category</t>
  </si>
  <si>
    <t>DNeasy Blood &amp; Tissue-based</t>
  </si>
  <si>
    <t>PowerWater-based</t>
  </si>
  <si>
    <t>Combined tissue–soil workflow</t>
  </si>
  <si>
    <t>PowerSoil-based</t>
  </si>
  <si>
    <t>Other extraction methods</t>
  </si>
  <si>
    <t>S11 Extraction Category</t>
  </si>
  <si>
    <t>S12 Standardised Target Gene</t>
  </si>
  <si>
    <t>Target-marker category</t>
  </si>
  <si>
    <t>Multi-marker</t>
  </si>
  <si>
    <t>Other mitochondrial markers</t>
  </si>
  <si>
    <t>Primer/assay category</t>
  </si>
  <si>
    <t>MiFish-based</t>
  </si>
  <si>
    <t>Teleo/Tele02-based</t>
  </si>
  <si>
    <t>Other metabarcoding primers</t>
  </si>
  <si>
    <t>S13 Standardised Primer System</t>
  </si>
  <si>
    <t>S15  Molecular Approach</t>
  </si>
  <si>
    <t>Sequencing-platform category</t>
  </si>
  <si>
    <t>Other high-throughput platform</t>
  </si>
  <si>
    <t>Other Illumina platforms (Illumina HiSeq+NextSeq+NovaSeq)</t>
  </si>
  <si>
    <t>Sequence-processing category</t>
  </si>
  <si>
    <t>zOTU</t>
  </si>
  <si>
    <t>% of 41 (reported)</t>
  </si>
  <si>
    <t>Broad group</t>
  </si>
  <si>
    <t>Cluster-based units: OTU + MOTU</t>
  </si>
  <si>
    <t>Exact sequence variants: ASV + zOTU</t>
  </si>
  <si>
    <t>S16 Sequencing Platform</t>
  </si>
  <si>
    <t>S17  Sequence Clustering (ASV / OTU / MOTU)</t>
  </si>
  <si>
    <t>S18 Cluster based units vs Exact sequence variants</t>
  </si>
  <si>
    <t>Reference</t>
  </si>
  <si>
    <t>Burgoa Cardás</t>
  </si>
  <si>
    <t>Civade, R. et al. (2016) Spatial representativeness of environmental DNA metabarcoding signal for fish biodiversity assessment in a natural freshwater system, PLOS ONE, 11(6), e0157366. https://doi.org/10.1371/journal.pone.0157366</t>
  </si>
  <si>
    <t>Consuegra, S. et al. (2021) Impacts of large and small barriers on fish assemblage composition assessed using environmental DNA metabarcoding, Science of the Total Environment, 790, 148054. https://doi.org/10.1016/j.scitotenv.2021.148054</t>
  </si>
  <si>
    <t>Test the spatial representativeness of eDNA metabarcoding for fish biodiversity assessment along a lake-river gradient</t>
  </si>
  <si>
    <t>Assess fish diversity and spatial characteristics in a river-lake connected system.</t>
  </si>
  <si>
    <t>0.15-0.8</t>
  </si>
  <si>
    <t>0.075-0.33 (reach lengths)</t>
  </si>
  <si>
    <t>1900-2400</t>
  </si>
  <si>
    <t>0.001-0.096</t>
  </si>
  <si>
    <t>0.001-2.7</t>
  </si>
  <si>
    <t>Rhône: 1030-1157 m³/s; Ain: 177-346 m³/s</t>
  </si>
  <si>
    <t>0.061-1.593</t>
  </si>
  <si>
    <t>0.1-0.5</t>
  </si>
  <si>
    <t>0.3-2.0</t>
  </si>
  <si>
    <t>Hybrid longitudinal-fixed-site sampling</t>
  </si>
  <si>
    <t>S6  Filteration Type</t>
  </si>
  <si>
    <t>S7 Matrix Water-Collection method x filtration location x filter format</t>
  </si>
  <si>
    <t>On-site</t>
  </si>
  <si>
    <t>Collection</t>
  </si>
  <si>
    <t>Location</t>
  </si>
  <si>
    <t>Laboratory/off-site</t>
  </si>
  <si>
    <t>Direct pumping</t>
  </si>
  <si>
    <t>Syringe</t>
  </si>
  <si>
    <t>River-lake connected system</t>
  </si>
  <si>
    <t>Transitional/Estuarine</t>
  </si>
  <si>
    <t>Tillotson</t>
  </si>
  <si>
    <t>Kalchhauser</t>
  </si>
  <si>
    <t>Open membrane (n)</t>
  </si>
  <si>
    <t>Encapsulated (n)</t>
  </si>
  <si>
    <t>Blackman</t>
  </si>
  <si>
    <t>160-185</t>
  </si>
  <si>
    <t>% of 41 Studies</t>
  </si>
  <si>
    <t>metaBEAT</t>
  </si>
  <si>
    <t>Low-frequency reads below the 0.1% threshold removed; maximum negative-control read count for each taxon subtracted from samples; taxonomic assignment at ≥97% sequence similarity</t>
  </si>
  <si>
    <t>Thailand</t>
  </si>
  <si>
    <t>To assess fish-diversity patterns across the Chao Phraya river basin using eDNA metabarcoding and identify spatial biodiversity clusters and potential conservation-priority areas.</t>
  </si>
  <si>
    <t>Large river + tributaries</t>
  </si>
  <si>
    <t>November 2016; seven-week dry-season campaign</t>
  </si>
  <si>
    <t>Glass fibre</t>
  </si>
  <si>
    <t>Dry ice during field storage; subsequently stored at −20°C</t>
  </si>
  <si>
    <t>DNeasy Blood &amp; Tissue Kit</t>
  </si>
  <si>
    <t>Kelly + MiFish-U</t>
  </si>
  <si>
    <t>metaBEAT v0.97.7-global</t>
  </si>
  <si>
    <t>Reads below the 0.1% sample threshold removed; maximum negative-control read count per taxon removed; taxonomic assignment at ≥97% sequence similarity</t>
  </si>
  <si>
    <t>106 + 163-185</t>
  </si>
  <si>
    <t>#</t>
  </si>
  <si>
    <t>Clusa, L. and García-Vázquez, E (2018) A simple, rapid method for detecting seven common invasive fish species in Europe from environmental DNA, Aquatic Conservation: Marine and Freshwater Ecosystems, 28, pp.619-629. https://doi.org/10.1002/aqc.2890</t>
  </si>
  <si>
    <t>Custom/local database</t>
  </si>
  <si>
    <t>Public database (NCBI/GenBank/EMBL)</t>
  </si>
  <si>
    <t>Public (NCBI/GenBank/EMBL)+ custom/local database</t>
  </si>
  <si>
    <t>Public + custom/local database (NCBI + custom database)</t>
  </si>
  <si>
    <t>Public database only (MitoFish + GenBank + Barcode of Life)</t>
  </si>
  <si>
    <t>Public + custom/local database (MIDORI2 + curated local fish database)</t>
  </si>
  <si>
    <t>Custom/local database (custom regional database constructed from GenBank)</t>
  </si>
  <si>
    <t>Public database only (GenBank)</t>
  </si>
  <si>
    <t>Public + custom/local database (EMBL + custom database)</t>
  </si>
  <si>
    <t>Custom/local database (custom regional database)</t>
  </si>
  <si>
    <t>Public database only (NCBI COI)</t>
  </si>
  <si>
    <t>Public database only (NCBI)</t>
  </si>
  <si>
    <t>Public + custom/local database (GenBank + custom database)</t>
  </si>
  <si>
    <t>Public + custom/local database (EMBL + local database)</t>
  </si>
  <si>
    <t>Public database only (NCBI + GenBank)</t>
  </si>
  <si>
    <t>Public + custom/local database (publicly available sequences + local database)</t>
  </si>
  <si>
    <t>Custom/local database (local Teleostei reference database)</t>
  </si>
  <si>
    <t>Custom/local database (curated UK fish reference database)</t>
  </si>
  <si>
    <t>Public database only (NCBI GenBank)</t>
  </si>
  <si>
    <t>Public database only (NCBI + FishBase)</t>
  </si>
  <si>
    <t>Public database only (NCBI mitochondrial 12S fish database)</t>
  </si>
  <si>
    <t>Public database only (MIDORI2 + NCBI GenBank curated cytb database)</t>
  </si>
  <si>
    <t>Custom/local database (custom reference database built from GenBank sequences)</t>
  </si>
  <si>
    <t>Public + custom/local database (custom drainage-specific database built from GenBank + local voucher sequences)</t>
  </si>
  <si>
    <t>Public + custom/local database (GenBank 12S database + manually curated freshwater fish additions)</t>
  </si>
  <si>
    <t>Public + custom/local database (custom regional fish database + GenBank 12S sequences)</t>
  </si>
  <si>
    <t>Public database only (GenBank + NCBI RefSeq)</t>
  </si>
  <si>
    <t>Public + custom/local database (ENA release 142 + custom Danubian reference database + Valentini database)</t>
  </si>
  <si>
    <t>Custom/local database (local Teleostei database)</t>
  </si>
  <si>
    <t>Public database only (NCBI Nucleotide database)</t>
  </si>
  <si>
    <t>Public database only (NCBI GenBank; BLAST used for assignment)</t>
  </si>
  <si>
    <t>Public + custom/local database (local Teleostei database + EMBL release 118)</t>
  </si>
  <si>
    <t>Public database only (MitoFish + NCBI)</t>
  </si>
  <si>
    <t>S14 Amplicon Length Categories (n=41)</t>
  </si>
  <si>
    <t>% of 47 reported</t>
  </si>
  <si>
    <t>Supplementary Table 1: Study characteristics, field-sampling designs, filtration methods, molecular workflows and bioinformatic procedures reported in the 58 included riverine fish eDNA studies.</t>
  </si>
  <si>
    <t>Note: Data used for analysis is based on Stanadardised Supplementary Table 1.</t>
  </si>
  <si>
    <r>
      <t xml:space="preserve">Antognazza, C.M. et al. (2021a) Application of eDNA metabarcoding in a fragmented lowland river: spatial and methodological comparison of fish species composition, </t>
    </r>
    <r>
      <rPr>
        <i/>
        <sz val="11"/>
        <color theme="1"/>
        <rFont val="Calibri"/>
        <family val="2"/>
        <scheme val="minor"/>
      </rPr>
      <t>Environmental DNA</t>
    </r>
    <r>
      <rPr>
        <sz val="11"/>
        <color theme="1"/>
        <rFont val="Calibri"/>
        <family val="2"/>
        <scheme val="minor"/>
      </rPr>
      <t>, 3(2), pp.458-471. https://doi.org/10.1002/edn3.136</t>
    </r>
  </si>
  <si>
    <r>
      <t xml:space="preserve">Antognazza, C.M. et al. (2021b) Environmental DNA reveals the temporal and spatial extent of spawning migrations of European shad in a highly fragmented river basin, </t>
    </r>
    <r>
      <rPr>
        <i/>
        <sz val="11"/>
        <color theme="1"/>
        <rFont val="Calibri"/>
        <family val="2"/>
        <scheme val="minor"/>
      </rPr>
      <t>Aquatic Conservation: Marine and Freshwater Ecosystems</t>
    </r>
    <r>
      <rPr>
        <sz val="11"/>
        <color theme="1"/>
        <rFont val="Calibri"/>
        <family val="2"/>
        <scheme val="minor"/>
      </rPr>
      <t>, 31(8), pp.2029-2040. https://doi.org/10.1002/aqc.3601</t>
    </r>
  </si>
  <si>
    <r>
      <t xml:space="preserve">Astorg, L. et al. (2025) eDNA metabarcoding to monitor fish communities in a large river floodplain, </t>
    </r>
    <r>
      <rPr>
        <i/>
        <sz val="11"/>
        <color theme="1"/>
        <rFont val="Calibri"/>
        <family val="2"/>
        <scheme val="minor"/>
      </rPr>
      <t>Environmental DNA</t>
    </r>
    <r>
      <rPr>
        <sz val="11"/>
        <color theme="1"/>
        <rFont val="Calibri"/>
        <family val="2"/>
        <scheme val="minor"/>
      </rPr>
      <t>, 7, e70182. https://doi.org/10.1002/edn3.70182.</t>
    </r>
  </si>
  <si>
    <r>
      <t xml:space="preserve">Baudry, T. et al. (2025) Metabarcoding outperforms traditional electrofishing in decapod and fish inventories, paving the way for enhanced biodiversity monitoring in the Caribbean, </t>
    </r>
    <r>
      <rPr>
        <i/>
        <sz val="11"/>
        <color theme="1"/>
        <rFont val="Calibri"/>
        <family val="2"/>
        <scheme val="minor"/>
      </rPr>
      <t>Metabarcoding and Metagenomics</t>
    </r>
    <r>
      <rPr>
        <sz val="11"/>
        <color theme="1"/>
        <rFont val="Calibri"/>
        <family val="2"/>
        <scheme val="minor"/>
      </rPr>
      <t>, 9, pp.537-558. https://doi.org/10.3897/mbmg.9.151675</t>
    </r>
  </si>
  <si>
    <r>
      <t xml:space="preserve">Beridze, T. et al. (2023) Fish diversity assessed by eDNA detection methods in the Rioni River, </t>
    </r>
    <r>
      <rPr>
        <i/>
        <sz val="11"/>
        <color theme="1"/>
        <rFont val="Calibri"/>
        <family val="2"/>
        <scheme val="minor"/>
      </rPr>
      <t>Metabarcoding and Metagenomics</t>
    </r>
    <r>
      <rPr>
        <sz val="11"/>
        <color theme="1"/>
        <rFont val="Calibri"/>
        <family val="2"/>
        <scheme val="minor"/>
      </rPr>
      <t>, 7, pp.247-262. https://doi.org/10.3897/mbmg.7.96780</t>
    </r>
  </si>
  <si>
    <r>
      <t>Blackman, R.C. et al. (2021) ‘Mapping biodiversity hotspots of fish communities in subtropical streams through environmental DNA’,</t>
    </r>
    <r>
      <rPr>
        <i/>
        <sz val="11"/>
        <color theme="1"/>
        <rFont val="Calibri"/>
        <family val="2"/>
        <scheme val="minor"/>
      </rPr>
      <t xml:space="preserve"> Scientific Reports</t>
    </r>
    <r>
      <rPr>
        <sz val="11"/>
        <color theme="1"/>
        <rFont val="Calibri"/>
        <family val="2"/>
        <scheme val="minor"/>
      </rPr>
      <t>, 11, 10375. doi: 10.1038/s41598-021-89942-6.</t>
    </r>
  </si>
  <si>
    <r>
      <t xml:space="preserve">Burgoa Cardás, J. et al. (2020) New eDNA-based tool applied to the specific detection and monitoring of the endangered European eel, </t>
    </r>
    <r>
      <rPr>
        <i/>
        <sz val="11"/>
        <color theme="1"/>
        <rFont val="Calibri"/>
        <family val="2"/>
        <scheme val="minor"/>
      </rPr>
      <t>Biological Conservation</t>
    </r>
    <r>
      <rPr>
        <sz val="11"/>
        <color theme="1"/>
        <rFont val="Calibri"/>
        <family val="2"/>
        <scheme val="minor"/>
      </rPr>
      <t>, 250, 108750. https://doi.org/10.1016/j.biocon.2020.108750</t>
    </r>
  </si>
  <si>
    <r>
      <t xml:space="preserve">Bylemans, J. et al. (2018) Monitoring riverine fish communities through eDNA metabarcoding: determining optimal sampling strategies along an altitudinal and biodiversity gradient, </t>
    </r>
    <r>
      <rPr>
        <i/>
        <sz val="11"/>
        <color theme="1"/>
        <rFont val="Calibri"/>
        <family val="2"/>
        <scheme val="minor"/>
      </rPr>
      <t>Metabarcoding and Metagenomics</t>
    </r>
    <r>
      <rPr>
        <sz val="11"/>
        <color theme="1"/>
        <rFont val="Calibri"/>
        <family val="2"/>
        <scheme val="minor"/>
      </rPr>
      <t>, 2, e30457. https://doi.org/10.3897/mbmg.2.30457</t>
    </r>
  </si>
  <si>
    <r>
      <t xml:space="preserve">Cantera, I. et al. (2019) Optimizing environmental DNA sampling effort for fish inventories in tropical streams and rivers, </t>
    </r>
    <r>
      <rPr>
        <i/>
        <sz val="11"/>
        <color theme="1"/>
        <rFont val="Calibri"/>
        <family val="2"/>
        <scheme val="minor"/>
      </rPr>
      <t>Scientific Reports</t>
    </r>
    <r>
      <rPr>
        <sz val="11"/>
        <color theme="1"/>
        <rFont val="Calibri"/>
        <family val="2"/>
        <scheme val="minor"/>
      </rPr>
      <t>, 9, 3085. https://doi.org/10.1038/s41598-019-39399-5</t>
    </r>
  </si>
  <si>
    <r>
      <t xml:space="preserve">Carraro, L. et al. (2020) Environmental DNA allows upscaling spatial patterns of biodiversity in freshwater ecosystems, </t>
    </r>
    <r>
      <rPr>
        <i/>
        <sz val="11"/>
        <color theme="1"/>
        <rFont val="Calibri"/>
        <family val="2"/>
        <scheme val="minor"/>
      </rPr>
      <t>Nature Communications</t>
    </r>
    <r>
      <rPr>
        <sz val="11"/>
        <color theme="1"/>
        <rFont val="Calibri"/>
        <family val="2"/>
        <scheme val="minor"/>
      </rPr>
      <t>, 11, 3585. https://doi.org/10.1038/s41467-020-17337-8</t>
    </r>
  </si>
  <si>
    <r>
      <t xml:space="preserve">Chucholl, F. et al. (2021) eDNA detection of native and invasive crayfish species allows for year-round monitoring and large-scale screening of lotic systems, </t>
    </r>
    <r>
      <rPr>
        <i/>
        <sz val="11"/>
        <color theme="1"/>
        <rFont val="Calibri"/>
        <family val="2"/>
        <scheme val="minor"/>
      </rPr>
      <t>Frontiers in Environmental Science</t>
    </r>
    <r>
      <rPr>
        <sz val="11"/>
        <color theme="1"/>
        <rFont val="Calibri"/>
        <family val="2"/>
        <scheme val="minor"/>
      </rPr>
      <t>, 9, 639380. https://doi.org/10.3389/fenvs.2021.639380</t>
    </r>
  </si>
  <si>
    <r>
      <t xml:space="preserve">Cilleros, K. et al. (2019) Unlocking biodiversity and conservation studies in high-diversity environments using environmental DNA (eDNA): a test with Guianese freshwater fishes, </t>
    </r>
    <r>
      <rPr>
        <i/>
        <sz val="11"/>
        <color theme="1"/>
        <rFont val="Calibri"/>
        <family val="2"/>
        <scheme val="minor"/>
      </rPr>
      <t>Molecular Ecology Resources</t>
    </r>
    <r>
      <rPr>
        <sz val="11"/>
        <color theme="1"/>
        <rFont val="Calibri"/>
        <family val="2"/>
        <scheme val="minor"/>
      </rPr>
      <t>, 19(1), pp.27-46. https://doi.org/10.1111/1755-0998.12900</t>
    </r>
  </si>
  <si>
    <r>
      <t xml:space="preserve">Coutant, O. et al. (2021) Detecting fish assemblages with environmental DNA: does protocol matter? Testing eDNA metabarcoding method robustness, </t>
    </r>
    <r>
      <rPr>
        <i/>
        <sz val="11"/>
        <color theme="1"/>
        <rFont val="Calibri"/>
        <family val="2"/>
        <scheme val="minor"/>
      </rPr>
      <t>Environmental DNA</t>
    </r>
    <r>
      <rPr>
        <sz val="11"/>
        <color theme="1"/>
        <rFont val="Calibri"/>
        <family val="2"/>
        <scheme val="minor"/>
      </rPr>
      <t>, 3(3), pp.619-630. https://doi.org/10.1002/edn3.158</t>
    </r>
  </si>
  <si>
    <r>
      <t xml:space="preserve">Coya, R. et al. (2025) Environmental DNA and hydroacoustic surveys for monitoring the spread of the invasive European catfish (Silurus glanis) in the Guadalquivir River Basin, Spain, </t>
    </r>
    <r>
      <rPr>
        <i/>
        <sz val="11"/>
        <color theme="1"/>
        <rFont val="Calibri"/>
        <family val="2"/>
        <scheme val="minor"/>
      </rPr>
      <t>Animals</t>
    </r>
    <r>
      <rPr>
        <sz val="11"/>
        <color theme="1"/>
        <rFont val="Calibri"/>
        <family val="2"/>
        <scheme val="minor"/>
      </rPr>
      <t>, 15(2), 285. https://doi.org/10.3390/ani15020285</t>
    </r>
  </si>
  <si>
    <r>
      <t xml:space="preserve">Curto, M. et al. (2025) Freshwater fish community assessment using eDNA metabarcoding vs. capture-based methods: differences in efficiency and resolution coupled to habitat and ecology, </t>
    </r>
    <r>
      <rPr>
        <i/>
        <sz val="11"/>
        <color theme="1"/>
        <rFont val="Calibri"/>
        <family val="2"/>
        <scheme val="minor"/>
      </rPr>
      <t>Environmental Research</t>
    </r>
    <r>
      <rPr>
        <sz val="11"/>
        <color theme="1"/>
        <rFont val="Calibri"/>
        <family val="2"/>
        <scheme val="minor"/>
      </rPr>
      <t>, 274, 121238. https://doi.org/10.1016/j.envres.2025.121238</t>
    </r>
  </si>
  <si>
    <r>
      <t xml:space="preserve">Erős, T. et al. (2024) eDNA metabarcoding reveals the role of habitat specialization and spatial and environmental variability in shaping diversity patterns of fish metacommunities, </t>
    </r>
    <r>
      <rPr>
        <i/>
        <sz val="11"/>
        <color theme="1"/>
        <rFont val="Calibri"/>
        <family val="2"/>
        <scheme val="minor"/>
      </rPr>
      <t>PLOS ONE</t>
    </r>
    <r>
      <rPr>
        <sz val="11"/>
        <color theme="1"/>
        <rFont val="Calibri"/>
        <family val="2"/>
        <scheme val="minor"/>
      </rPr>
      <t>, 19(1), e0296310. https://doi.org/10.1371/journal.pone.0296310</t>
    </r>
  </si>
  <si>
    <r>
      <t xml:space="preserve">Fernandez, S. et al. (2018) Environmental DNA for freshwater fish monitoring: insights for conservation within a protected area, </t>
    </r>
    <r>
      <rPr>
        <i/>
        <sz val="11"/>
        <color theme="1"/>
        <rFont val="Calibri"/>
        <family val="2"/>
        <scheme val="minor"/>
      </rPr>
      <t>PeerJ</t>
    </r>
    <r>
      <rPr>
        <sz val="11"/>
        <color theme="1"/>
        <rFont val="Calibri"/>
        <family val="2"/>
        <scheme val="minor"/>
      </rPr>
      <t>, 6, e4486. https://doi.org/10.7717/peerj.4486</t>
    </r>
  </si>
  <si>
    <r>
      <t xml:space="preserve">Goutte, A. et al. (2020) Monitoring freshwater fish communities in large rivers using environmental DNA metabarcoding and a long-term electrofishing survey, </t>
    </r>
    <r>
      <rPr>
        <i/>
        <sz val="11"/>
        <color theme="1"/>
        <rFont val="Calibri"/>
        <family val="2"/>
        <scheme val="minor"/>
      </rPr>
      <t>Journal of Fish Biology</t>
    </r>
    <r>
      <rPr>
        <sz val="11"/>
        <color theme="1"/>
        <rFont val="Calibri"/>
        <family val="2"/>
        <scheme val="minor"/>
      </rPr>
      <t>, 97(2), pp.444-452. https://doi.org/10.1111/jfb.14383</t>
    </r>
  </si>
  <si>
    <r>
      <t xml:space="preserve">Griffiths, N.P. et al. (2020) Environmental DNA metabarcoding provides enhanced detection of the European eel Anguilla anguilla and fish community structure in pumped river catchments, </t>
    </r>
    <r>
      <rPr>
        <i/>
        <sz val="11"/>
        <color theme="1"/>
        <rFont val="Calibri"/>
        <family val="2"/>
        <scheme val="minor"/>
      </rPr>
      <t>Journal of Fish Biology</t>
    </r>
    <r>
      <rPr>
        <sz val="11"/>
        <color theme="1"/>
        <rFont val="Calibri"/>
        <family val="2"/>
        <scheme val="minor"/>
      </rPr>
      <t>, 97(5), pp.1375-1384. https://doi.org/10.1111/jfb.14497</t>
    </r>
  </si>
  <si>
    <r>
      <t xml:space="preserve">Hallam, J. et al. (2021) Biodiversity assessment across a dynamic riverine system: a comparison of eDNA metabarcoding versus traditional fish surveying methods, </t>
    </r>
    <r>
      <rPr>
        <i/>
        <sz val="11"/>
        <color theme="1"/>
        <rFont val="Calibri"/>
        <family val="2"/>
        <scheme val="minor"/>
      </rPr>
      <t>Environmental DNA,</t>
    </r>
    <r>
      <rPr>
        <sz val="11"/>
        <color theme="1"/>
        <rFont val="Calibri"/>
        <family val="2"/>
        <scheme val="minor"/>
      </rPr>
      <t xml:space="preserve"> 3(6), pp.1247-1266. https://doi.org/10.1002/edn3.241</t>
    </r>
  </si>
  <si>
    <r>
      <t xml:space="preserve">Halvorsen, S. et al. (2023) Estimating the number of European eel (Anguilla anguilla) individuals using environmental DNA and haplotype count in small rivers, </t>
    </r>
    <r>
      <rPr>
        <i/>
        <sz val="11"/>
        <color theme="1"/>
        <rFont val="Calibri"/>
        <family val="2"/>
        <scheme val="minor"/>
      </rPr>
      <t>Ecology and Evolution</t>
    </r>
    <r>
      <rPr>
        <sz val="11"/>
        <color theme="1"/>
        <rFont val="Calibri"/>
        <family val="2"/>
        <scheme val="minor"/>
      </rPr>
      <t>, 13, e9785. https://doi.org/10.1002/ece3.9785</t>
    </r>
  </si>
  <si>
    <r>
      <t xml:space="preserve">Halvorsen, S. et al. (2020) Environmental DNA analysis indicates that migration barriers are decreasing the occurrence of European eel (Anguilla anguilla) with distance from the sea, </t>
    </r>
    <r>
      <rPr>
        <i/>
        <sz val="11"/>
        <color theme="1"/>
        <rFont val="Calibri"/>
        <family val="2"/>
        <scheme val="minor"/>
      </rPr>
      <t>Global Ecology and Conservation</t>
    </r>
    <r>
      <rPr>
        <sz val="11"/>
        <color theme="1"/>
        <rFont val="Calibri"/>
        <family val="2"/>
        <scheme val="minor"/>
      </rPr>
      <t>, 24, e01245. https://doi.org/10.1016/j.gecco.2020.e01245</t>
    </r>
  </si>
  <si>
    <r>
      <t xml:space="preserve">He, W. et al. (2022) Using eDNA to assess the fish diversity and spatial characteristics in the Changjiang River-Shijiu Lake connected system, </t>
    </r>
    <r>
      <rPr>
        <i/>
        <sz val="11"/>
        <color theme="1"/>
        <rFont val="Calibri"/>
        <family val="2"/>
        <scheme val="minor"/>
      </rPr>
      <t>Ecological Indicators</t>
    </r>
    <r>
      <rPr>
        <sz val="11"/>
        <color theme="1"/>
        <rFont val="Calibri"/>
        <family val="2"/>
        <scheme val="minor"/>
      </rPr>
      <t>, 139, 108968. https://doi.org/10.1016/j.ecolind.2022.108968</t>
    </r>
  </si>
  <si>
    <r>
      <t xml:space="preserve">Ito, G. et al. (2023) Using eDNA metabarcoding to establish targets for freshwater fish composition following river restoration, </t>
    </r>
    <r>
      <rPr>
        <i/>
        <sz val="11"/>
        <color theme="1"/>
        <rFont val="Calibri"/>
        <family val="2"/>
        <scheme val="minor"/>
      </rPr>
      <t>Global Ecology and Conservation</t>
    </r>
    <r>
      <rPr>
        <sz val="11"/>
        <color theme="1"/>
        <rFont val="Calibri"/>
        <family val="2"/>
        <scheme val="minor"/>
      </rPr>
      <t>, 43, e02448. https://doi.org/10.1016/j.gecco.2023.e02448</t>
    </r>
  </si>
  <si>
    <r>
      <t xml:space="preserve">Jane, S.F. et al. (2015) Distance, flow and PCR inhibition: eDNA dynamics in two headwater streams, </t>
    </r>
    <r>
      <rPr>
        <i/>
        <sz val="11"/>
        <color theme="1"/>
        <rFont val="Calibri"/>
        <family val="2"/>
        <scheme val="minor"/>
      </rPr>
      <t>Molecular Ecology Resources</t>
    </r>
    <r>
      <rPr>
        <sz val="11"/>
        <color theme="1"/>
        <rFont val="Calibri"/>
        <family val="2"/>
        <scheme val="minor"/>
      </rPr>
      <t>, 15(1), pp.216-227. https://doi.org/10.1111/1755-0998.12285</t>
    </r>
  </si>
  <si>
    <r>
      <t xml:space="preserve">Adrian-Kalchhauser, I., and P. Burkhardt-Holm (2016) An eDNA assay to monitor a globally invasive fish species from flowing freshwater, </t>
    </r>
    <r>
      <rPr>
        <i/>
        <sz val="11"/>
        <color theme="1"/>
        <rFont val="Calibri"/>
        <family val="2"/>
        <scheme val="minor"/>
      </rPr>
      <t>PLOS ONE</t>
    </r>
    <r>
      <rPr>
        <sz val="11"/>
        <color theme="1"/>
        <rFont val="Calibri"/>
        <family val="2"/>
        <scheme val="minor"/>
      </rPr>
      <t>, 11(1), e0147558. https://doi.org/10.1371/journal.pone.0147558</t>
    </r>
  </si>
  <si>
    <r>
      <t xml:space="preserve">Kirschner, D. et al. (2026) Geographic patterns of intra- and interspecific diversity of riverine fish species in the Italian Northern Apennines and Ligurian Alps, </t>
    </r>
    <r>
      <rPr>
        <i/>
        <sz val="11"/>
        <color theme="1"/>
        <rFont val="Calibri"/>
        <family val="2"/>
        <scheme val="minor"/>
      </rPr>
      <t>Ecology and Evolution</t>
    </r>
    <r>
      <rPr>
        <sz val="11"/>
        <color theme="1"/>
        <rFont val="Calibri"/>
        <family val="2"/>
        <scheme val="minor"/>
      </rPr>
      <t>, 16(4), e73240. https://doi.org/10.1002/ece3.73240</t>
    </r>
  </si>
  <si>
    <r>
      <t>Lecaudey, L.A. et al. (2019) Fish diversity assessment in the headwaters of the Volga River using environmental DNA metabarcoding,</t>
    </r>
    <r>
      <rPr>
        <i/>
        <sz val="11"/>
        <color theme="1"/>
        <rFont val="Calibri"/>
        <family val="2"/>
        <scheme val="minor"/>
      </rPr>
      <t xml:space="preserve"> Aquatic Conservation: Marine and Freshwater Ecosystems</t>
    </r>
    <r>
      <rPr>
        <sz val="11"/>
        <color theme="1"/>
        <rFont val="Calibri"/>
        <family val="2"/>
        <scheme val="minor"/>
      </rPr>
      <t>, 29, pp.1785-1800. https://doi.org/10.1002/aqc.3163</t>
    </r>
  </si>
  <si>
    <r>
      <t xml:space="preserve">Lee, V.M. et al. (2024) Putting eDNA to the test: a field comparison of eDNA metabarcoding to established protocols for assessing biodiversity in Missouri's Ozark Highland streams, </t>
    </r>
    <r>
      <rPr>
        <i/>
        <sz val="11"/>
        <color theme="1"/>
        <rFont val="Calibri"/>
        <family val="2"/>
        <scheme val="minor"/>
      </rPr>
      <t>Environmental DNA</t>
    </r>
    <r>
      <rPr>
        <sz val="11"/>
        <color theme="1"/>
        <rFont val="Calibri"/>
        <family val="2"/>
        <scheme val="minor"/>
      </rPr>
      <t>, 6, e510. https://doi.org/10.1002/edn3.510</t>
    </r>
  </si>
  <si>
    <r>
      <t xml:space="preserve">Liu, Z. et al. (2024) Comparison between environmental DNA metabarcoding and traditional survey method to identify community composition and assembly of stream fish, </t>
    </r>
    <r>
      <rPr>
        <i/>
        <sz val="11"/>
        <color theme="1"/>
        <rFont val="Calibri"/>
        <family val="2"/>
        <scheme val="minor"/>
      </rPr>
      <t>Ecology and Evolution</t>
    </r>
    <r>
      <rPr>
        <sz val="11"/>
        <color theme="1"/>
        <rFont val="Calibri"/>
        <family val="2"/>
        <scheme val="minor"/>
      </rPr>
      <t>, 14, e70627. https://doi.org/10.1002/ece3.70627</t>
    </r>
  </si>
  <si>
    <r>
      <t>Ma, Q. et al. (2025) Research on the changes in fish composition in the Chongqing section of the Fujiang River based on eDNA technology,</t>
    </r>
    <r>
      <rPr>
        <i/>
        <sz val="11"/>
        <color theme="1"/>
        <rFont val="Calibri"/>
        <family val="2"/>
        <scheme val="minor"/>
      </rPr>
      <t xml:space="preserve"> Israeli Journal of Aquaculture - Bamidgeh</t>
    </r>
    <r>
      <rPr>
        <sz val="11"/>
        <color theme="1"/>
        <rFont val="Calibri"/>
        <family val="2"/>
        <scheme val="minor"/>
      </rPr>
      <t>, 77(4), pp.305-314. https://doi.org/10.46989/001c.153969</t>
    </r>
  </si>
  <si>
    <r>
      <t xml:space="preserve">Mächler, E. et al. (2019) Assessing different components of diversity across a river network using eDNA, </t>
    </r>
    <r>
      <rPr>
        <i/>
        <sz val="11"/>
        <color theme="1"/>
        <rFont val="Calibri"/>
        <family val="2"/>
        <scheme val="minor"/>
      </rPr>
      <t xml:space="preserve">Environmental DNA, </t>
    </r>
    <r>
      <rPr>
        <sz val="11"/>
        <color theme="1"/>
        <rFont val="Calibri"/>
        <family val="2"/>
        <scheme val="minor"/>
      </rPr>
      <t>1(3), pp.290-301. https://doi.org/10.1002/edn3.33.</t>
    </r>
  </si>
  <si>
    <r>
      <t xml:space="preserve">Maracle, S.R. et al. (2024) Nearshore fish diversity changes with sampling method and human disturbance: comparing eDNA metabarcoding and seine netting along the Upper St. Lawrence River, </t>
    </r>
    <r>
      <rPr>
        <i/>
        <sz val="11"/>
        <color theme="1"/>
        <rFont val="Calibri"/>
        <family val="2"/>
        <scheme val="minor"/>
      </rPr>
      <t>Journal of Great Lakes Research</t>
    </r>
    <r>
      <rPr>
        <sz val="11"/>
        <color theme="1"/>
        <rFont val="Calibri"/>
        <family val="2"/>
        <scheme val="minor"/>
      </rPr>
      <t>, 50, 102317. https://doi.org/10.1016/j.jglr.2024.102317.</t>
    </r>
  </si>
  <si>
    <r>
      <t xml:space="preserve">McColl-Gausden, E.F. et al. (2021) Multispecies models reveal that eDNA metabarcoding is more sensitive than backpack electrofishing for conducting fish surveys in freshwater streams, </t>
    </r>
    <r>
      <rPr>
        <i/>
        <sz val="11"/>
        <color theme="1"/>
        <rFont val="Calibri"/>
        <family val="2"/>
        <scheme val="minor"/>
      </rPr>
      <t>Molecular Ecology,</t>
    </r>
    <r>
      <rPr>
        <sz val="11"/>
        <color theme="1"/>
        <rFont val="Calibri"/>
        <family val="2"/>
        <scheme val="minor"/>
      </rPr>
      <t xml:space="preserve"> 30(13), pp.3111-3126. https://doi.org/10.1111/mec.15644</t>
    </r>
  </si>
  <si>
    <r>
      <t xml:space="preserve">Meulenbroek, P. et al. (2022) Sturgeons in large rivers: detecting the near-extinct needles in a haystack via eDNA metabarcoding from water samples, </t>
    </r>
    <r>
      <rPr>
        <i/>
        <sz val="11"/>
        <color theme="1"/>
        <rFont val="Calibri"/>
        <family val="2"/>
        <scheme val="minor"/>
      </rPr>
      <t>Biodiversity and Conservation</t>
    </r>
    <r>
      <rPr>
        <sz val="11"/>
        <color theme="1"/>
        <rFont val="Calibri"/>
        <family val="2"/>
        <scheme val="minor"/>
      </rPr>
      <t>, 31, pp.2817-2832. https://doi.org/10.1007/s10531-022-02459-w</t>
    </r>
  </si>
  <si>
    <r>
      <t xml:space="preserve">Milhau, T. et al. (2021) Seasonal dynamics of riverine fish communities using eDNA, </t>
    </r>
    <r>
      <rPr>
        <i/>
        <sz val="11"/>
        <color theme="1"/>
        <rFont val="Calibri"/>
        <family val="2"/>
        <scheme val="minor"/>
      </rPr>
      <t>Journal of Fish Biology</t>
    </r>
    <r>
      <rPr>
        <sz val="11"/>
        <color theme="1"/>
        <rFont val="Calibri"/>
        <family val="2"/>
        <scheme val="minor"/>
      </rPr>
      <t>, 98(2), pp.387-398. https://doi.org/10.1111/jfb.14190</t>
    </r>
  </si>
  <si>
    <r>
      <t xml:space="preserve">Muha, T.P. et al. (2021) Using eDNA metabarcoding to monitor changes in fish community composition after barrier removal, </t>
    </r>
    <r>
      <rPr>
        <i/>
        <sz val="11"/>
        <color theme="1"/>
        <rFont val="Calibri"/>
        <family val="2"/>
        <scheme val="minor"/>
      </rPr>
      <t>Frontiers in Ecology and Evolution</t>
    </r>
    <r>
      <rPr>
        <sz val="11"/>
        <color theme="1"/>
        <rFont val="Calibri"/>
        <family val="2"/>
        <scheme val="minor"/>
      </rPr>
      <t>, 9, 629217. https://doi.org/10.3389/fevo.2021.629217</t>
    </r>
  </si>
  <si>
    <r>
      <t xml:space="preserve">Novaković, A. et al. (2026) A species-specific assay for Salmo cf. trutta and its application in eDNA-based spawning activity monitoring, </t>
    </r>
    <r>
      <rPr>
        <i/>
        <sz val="11"/>
        <color theme="1"/>
        <rFont val="Calibri"/>
        <family val="2"/>
        <scheme val="minor"/>
      </rPr>
      <t>Fishes</t>
    </r>
    <r>
      <rPr>
        <sz val="11"/>
        <color theme="1"/>
        <rFont val="Calibri"/>
        <family val="2"/>
        <scheme val="minor"/>
      </rPr>
      <t>, 11(4), 219. https://doi.org/10.3390/fishes11040219</t>
    </r>
  </si>
  <si>
    <r>
      <t xml:space="preserve">Olds, B.P. et al. (2016) Estimating species richness using environmental DNA, </t>
    </r>
    <r>
      <rPr>
        <i/>
        <sz val="11"/>
        <color theme="1"/>
        <rFont val="Calibri"/>
        <family val="2"/>
        <scheme val="minor"/>
      </rPr>
      <t>Ecology and Evolution</t>
    </r>
    <r>
      <rPr>
        <sz val="11"/>
        <color theme="1"/>
        <rFont val="Calibri"/>
        <family val="2"/>
        <scheme val="minor"/>
      </rPr>
      <t>, 6(12), pp.4214-4226. https://doi.org/10.1002/ece3.2186</t>
    </r>
  </si>
  <si>
    <r>
      <t xml:space="preserve">Overland, B. et al. (2026) eDNA-based monitoring metrics for migratory and resident fish following full and partial removal of river barriers, </t>
    </r>
    <r>
      <rPr>
        <i/>
        <sz val="11"/>
        <color theme="1"/>
        <rFont val="Calibri"/>
        <family val="2"/>
        <scheme val="minor"/>
      </rPr>
      <t>Ecological Indicators</t>
    </r>
    <r>
      <rPr>
        <sz val="11"/>
        <color theme="1"/>
        <rFont val="Calibri"/>
        <family val="2"/>
        <scheme val="minor"/>
      </rPr>
      <t>, 183, 114694. https://doi.org/10.1016/j.ecolind.2026.114694</t>
    </r>
  </si>
  <si>
    <r>
      <t xml:space="preserve">Pont, D. et al. (2023) Quantitative monitoring of diverse fish communities on a large scale combining eDNA metabarcoding and qPCR, </t>
    </r>
    <r>
      <rPr>
        <i/>
        <sz val="11"/>
        <color theme="1"/>
        <rFont val="Calibri"/>
        <family val="2"/>
        <scheme val="minor"/>
      </rPr>
      <t>Molecular Ecology Resources</t>
    </r>
    <r>
      <rPr>
        <sz val="11"/>
        <color theme="1"/>
        <rFont val="Calibri"/>
        <family val="2"/>
        <scheme val="minor"/>
      </rPr>
      <t>, 23(2), pp.396-409. https://doi.org/10.1111/1755-0998.13715.</t>
    </r>
  </si>
  <si>
    <r>
      <t xml:space="preserve">Pont, D. et al. (2018) Environmental DNA reveals quantitative patterns of fish biodiversity in large rivers despite its downstream transportation, </t>
    </r>
    <r>
      <rPr>
        <i/>
        <sz val="11"/>
        <color theme="1"/>
        <rFont val="Calibri"/>
        <family val="2"/>
        <scheme val="minor"/>
      </rPr>
      <t>Scientific Reports</t>
    </r>
    <r>
      <rPr>
        <sz val="11"/>
        <color theme="1"/>
        <rFont val="Calibri"/>
        <family val="2"/>
        <scheme val="minor"/>
      </rPr>
      <t>, 8, 10361. https://doi.org/10.1038/s41598-018-28424-8.</t>
    </r>
  </si>
  <si>
    <r>
      <t xml:space="preserve">Sakata, M.K. et al. (2021) Determining an effective sampling method for eDNA metabarcoding: a case study for fish biodiversity monitoring in a small, natural river, </t>
    </r>
    <r>
      <rPr>
        <i/>
        <sz val="11"/>
        <color theme="1"/>
        <rFont val="Calibri"/>
        <family val="2"/>
        <scheme val="minor"/>
      </rPr>
      <t>Limnology</t>
    </r>
    <r>
      <rPr>
        <sz val="11"/>
        <color theme="1"/>
        <rFont val="Calibri"/>
        <family val="2"/>
        <scheme val="minor"/>
      </rPr>
      <t>, 22(2), pp.221-235. https://doi.org/10.1007/s10201-020-00645-9</t>
    </r>
  </si>
  <si>
    <r>
      <t>Schumer, G. et al. (2019) Utilizing environmental DNA for fish eradication effectiveness monitoring in streams,</t>
    </r>
    <r>
      <rPr>
        <i/>
        <sz val="11"/>
        <color theme="1"/>
        <rFont val="Calibri"/>
        <family val="2"/>
        <scheme val="minor"/>
      </rPr>
      <t xml:space="preserve"> Biological Invasions</t>
    </r>
    <r>
      <rPr>
        <sz val="11"/>
        <color theme="1"/>
        <rFont val="Calibri"/>
        <family val="2"/>
        <scheme val="minor"/>
      </rPr>
      <t>, 21, pp.3415-3426. https://doi.org/10.1007/s10530-019-02056-z.</t>
    </r>
  </si>
  <si>
    <r>
      <t>Thalinger, B. et al. (2019) Monitoring spawning migrations of potamodromous fish species via eDNA,</t>
    </r>
    <r>
      <rPr>
        <i/>
        <sz val="11"/>
        <color theme="1"/>
        <rFont val="Calibri"/>
        <family val="2"/>
        <scheme val="minor"/>
      </rPr>
      <t xml:space="preserve"> Scientific Report</t>
    </r>
    <r>
      <rPr>
        <sz val="11"/>
        <color theme="1"/>
        <rFont val="Calibri"/>
        <family val="2"/>
        <scheme val="minor"/>
      </rPr>
      <t>s, 9, 15388. https://doi.org/10.1038/s41598-019-51398-0</t>
    </r>
  </si>
  <si>
    <r>
      <t xml:space="preserve">Thalinger, B. et al. (2021) Lateral and longitudinal fish environmental DNA distribution in dynamic riverine habitats, </t>
    </r>
    <r>
      <rPr>
        <i/>
        <sz val="11"/>
        <color theme="1"/>
        <rFont val="Calibri"/>
        <family val="2"/>
        <scheme val="minor"/>
      </rPr>
      <t>Environmental DNA</t>
    </r>
    <r>
      <rPr>
        <sz val="11"/>
        <color theme="1"/>
        <rFont val="Calibri"/>
        <family val="2"/>
        <scheme val="minor"/>
      </rPr>
      <t>, 3, pp.305-318. https://doi.org/10.1002/edn3.171.</t>
    </r>
  </si>
  <si>
    <r>
      <t xml:space="preserve">Tillotson, M.D. et al. (2018) Concentrations of environmental DNA (eDNA) reflect spawning salmon abundance at fine spatial and temporal scales, </t>
    </r>
    <r>
      <rPr>
        <i/>
        <sz val="11"/>
        <color theme="1"/>
        <rFont val="Calibri"/>
        <family val="2"/>
        <scheme val="minor"/>
      </rPr>
      <t>Biological Conservation</t>
    </r>
    <r>
      <rPr>
        <sz val="11"/>
        <color theme="1"/>
        <rFont val="Calibri"/>
        <family val="2"/>
        <scheme val="minor"/>
      </rPr>
      <t>, 220, pp.1-11. https://doi.org/10.1016/j.biocon.2018.01.030</t>
    </r>
  </si>
  <si>
    <r>
      <t xml:space="preserve">Tolonen, K.T. et al. (2024) Assessing the potential of environmental DNA for monitoring nature-like bypasses: erroneous surveillance owing to DNA flow-through, </t>
    </r>
    <r>
      <rPr>
        <i/>
        <sz val="11"/>
        <color theme="1"/>
        <rFont val="Calibri"/>
        <family val="2"/>
        <scheme val="minor"/>
      </rPr>
      <t>Environmental DNA</t>
    </r>
    <r>
      <rPr>
        <sz val="11"/>
        <color theme="1"/>
        <rFont val="Calibri"/>
        <family val="2"/>
        <scheme val="minor"/>
      </rPr>
      <t>, 6(5), e70004. https://doi.org/10.1002/edn3.70004</t>
    </r>
  </si>
  <si>
    <r>
      <t xml:space="preserve">Valentini, A. et al. (2016) Next-generation monitoring of aquatic biodiversity using environmental DNA metabarcoding, </t>
    </r>
    <r>
      <rPr>
        <i/>
        <sz val="11"/>
        <color theme="1"/>
        <rFont val="Calibri"/>
        <family val="2"/>
        <scheme val="minor"/>
      </rPr>
      <t>Molecular Ecology</t>
    </r>
    <r>
      <rPr>
        <sz val="11"/>
        <color theme="1"/>
        <rFont val="Calibri"/>
        <family val="2"/>
        <scheme val="minor"/>
      </rPr>
      <t>, 25, pp.929-942. https://doi.org/10.1111/mec.13428</t>
    </r>
  </si>
  <si>
    <r>
      <t xml:space="preserve">Van Driessche, C. et al. (2023) Using environmental DNA metabarcoding to monitor fish communities in small rivers and large brooks: insights on the spatial scale of information, </t>
    </r>
    <r>
      <rPr>
        <i/>
        <sz val="11"/>
        <color theme="1"/>
        <rFont val="Calibri"/>
        <family val="2"/>
        <scheme val="minor"/>
      </rPr>
      <t>Environmental Research</t>
    </r>
    <r>
      <rPr>
        <sz val="11"/>
        <color theme="1"/>
        <rFont val="Calibri"/>
        <family val="2"/>
        <scheme val="minor"/>
      </rPr>
      <t>, 228, 115857. https://doi.org/10.1016/j.envres.2023.115857</t>
    </r>
  </si>
  <si>
    <r>
      <t xml:space="preserve">Wang, B. et al. (2024) Bridging the gap: the integration of eDNA techniques and traditional sampling in fish diversity analysis, </t>
    </r>
    <r>
      <rPr>
        <i/>
        <sz val="11"/>
        <color theme="1"/>
        <rFont val="Calibri"/>
        <family val="2"/>
        <scheme val="minor"/>
      </rPr>
      <t>Frontiers in Marine Science</t>
    </r>
    <r>
      <rPr>
        <sz val="11"/>
        <color theme="1"/>
        <rFont val="Calibri"/>
        <family val="2"/>
        <scheme val="minor"/>
      </rPr>
      <t>, 11, 1289589. https://doi.org/10.3389/fmars.2024.1289589</t>
    </r>
  </si>
  <si>
    <r>
      <t xml:space="preserve">Wilcox, T.M. et al. (2016) Understanding environmental DNA detection probabilities: a case study using a stream-dwelling char Salvelinus fontinalis, </t>
    </r>
    <r>
      <rPr>
        <i/>
        <sz val="11"/>
        <color theme="1"/>
        <rFont val="Calibri"/>
        <family val="2"/>
        <scheme val="minor"/>
      </rPr>
      <t>Biological Conservation</t>
    </r>
    <r>
      <rPr>
        <sz val="11"/>
        <color theme="1"/>
        <rFont val="Calibri"/>
        <family val="2"/>
        <scheme val="minor"/>
      </rPr>
      <t>, 194, pp.209-216. https://doi.org/10.1016/j.biocon.2015.12.023</t>
    </r>
  </si>
  <si>
    <r>
      <t xml:space="preserve">Xiao, J. et al. (2025) Fish diversity and continuous sampling strategy in the lower Hanjiang River: comparing the eDNA with the traditional methods, </t>
    </r>
    <r>
      <rPr>
        <i/>
        <sz val="11"/>
        <color theme="1"/>
        <rFont val="Calibri"/>
        <family val="2"/>
        <scheme val="minor"/>
      </rPr>
      <t>Global Ecology and Conservation</t>
    </r>
    <r>
      <rPr>
        <sz val="11"/>
        <color theme="1"/>
        <rFont val="Calibri"/>
        <family val="2"/>
        <scheme val="minor"/>
      </rPr>
      <t>, 64, e03963. https://doi.org/10.1016/j.gecco.2025.e03963.</t>
    </r>
  </si>
  <si>
    <r>
      <t xml:space="preserve">Xu, J. et al. (2025) Comparing eDNA metabarcoding and morphological surveys reveals distinct fish community patterns in the Gaya River, </t>
    </r>
    <r>
      <rPr>
        <i/>
        <sz val="11"/>
        <color theme="1"/>
        <rFont val="Calibri"/>
        <family val="2"/>
        <scheme val="minor"/>
      </rPr>
      <t>Fishes,</t>
    </r>
    <r>
      <rPr>
        <sz val="11"/>
        <color theme="1"/>
        <rFont val="Calibri"/>
        <family val="2"/>
        <scheme val="minor"/>
      </rPr>
      <t xml:space="preserve"> 10(9), 430. https://doi.org/10.3390/fishes10090430</t>
    </r>
  </si>
  <si>
    <r>
      <t xml:space="preserve">Yu, Y. et al. (2026) Comparison between eDNA and traditional morphological methods for fish diversity monitoring in rivers, </t>
    </r>
    <r>
      <rPr>
        <i/>
        <sz val="11"/>
        <color theme="1"/>
        <rFont val="Calibri"/>
        <family val="2"/>
        <scheme val="minor"/>
      </rPr>
      <t>Scientific Reports,</t>
    </r>
    <r>
      <rPr>
        <sz val="11"/>
        <color theme="1"/>
        <rFont val="Calibri"/>
        <family val="2"/>
        <scheme val="minor"/>
      </rPr>
      <t xml:space="preserve"> 16, 3098. https://doi.org/10.1038/s41598-025-32964-1.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</si>
</sst>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8"/>
      <name val="Calibri"/>
      <family val="2"/>
      <scheme val="minor"/>
    </font>
    <font>
      <b/>
      <sz val="12"/>
      <color theme="0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1A1A1A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u/>
      <sz val="15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4">
    <border>
      <left/>
      <right/>
      <top/>
      <bottom/>
      <diagonal/>
    </border>
    <border>
      <left style="thick">
        <color theme="4" tint="0.39994506668294322"/>
      </left>
      <right/>
      <top/>
      <bottom/>
      <diagonal/>
    </border>
    <border>
      <left/>
      <right/>
      <top/>
      <bottom style="thick">
        <color theme="4" tint="0.39994506668294322"/>
      </bottom>
      <diagonal/>
    </border>
    <border>
      <left/>
      <right/>
      <top style="thick">
        <color theme="5" tint="0.39991454817346722"/>
      </top>
      <bottom/>
      <diagonal/>
    </border>
    <border>
      <left/>
      <right/>
      <top/>
      <bottom style="thick">
        <color theme="5" tint="0.39991454817346722"/>
      </bottom>
      <diagonal/>
    </border>
    <border>
      <left/>
      <right/>
      <top/>
      <bottom style="thick">
        <color theme="6" tint="0.39994506668294322"/>
      </bottom>
      <diagonal/>
    </border>
    <border>
      <left/>
      <right/>
      <top style="thick">
        <color theme="7" tint="0.39994506668294322"/>
      </top>
      <bottom/>
      <diagonal/>
    </border>
    <border>
      <left/>
      <right/>
      <top/>
      <bottom style="thick">
        <color theme="7" tint="0.39994506668294322"/>
      </bottom>
      <diagonal/>
    </border>
    <border>
      <left/>
      <right/>
      <top/>
      <bottom style="thick">
        <color theme="8" tint="0.39994506668294322"/>
      </bottom>
      <diagonal/>
    </border>
    <border>
      <left style="mediumDashed">
        <color theme="8" tint="0.39991454817346722"/>
      </left>
      <right/>
      <top style="medium">
        <color theme="9" tint="0.39994506668294322"/>
      </top>
      <bottom/>
      <diagonal/>
    </border>
    <border>
      <left/>
      <right/>
      <top style="medium">
        <color theme="9" tint="0.39994506668294322"/>
      </top>
      <bottom/>
      <diagonal/>
    </border>
    <border>
      <left/>
      <right style="medium">
        <color theme="9" tint="0.39994506668294322"/>
      </right>
      <top style="medium">
        <color theme="9" tint="0.39994506668294322"/>
      </top>
      <bottom/>
      <diagonal/>
    </border>
    <border>
      <left style="mediumDashed">
        <color theme="8" tint="0.39991454817346722"/>
      </left>
      <right/>
      <top/>
      <bottom/>
      <diagonal/>
    </border>
    <border>
      <left/>
      <right style="medium">
        <color theme="9" tint="0.39994506668294322"/>
      </right>
      <top/>
      <bottom/>
      <diagonal/>
    </border>
    <border>
      <left style="mediumDashed">
        <color theme="8" tint="0.39991454817346722"/>
      </left>
      <right/>
      <top/>
      <bottom style="thick">
        <color theme="9" tint="0.39994506668294322"/>
      </bottom>
      <diagonal/>
    </border>
    <border>
      <left/>
      <right/>
      <top/>
      <bottom style="thick">
        <color theme="9" tint="0.39994506668294322"/>
      </bottom>
      <diagonal/>
    </border>
    <border>
      <left/>
      <right style="medium">
        <color theme="9" tint="0.39994506668294322"/>
      </right>
      <top/>
      <bottom style="thick">
        <color theme="9" tint="0.39994506668294322"/>
      </bottom>
      <diagonal/>
    </border>
    <border>
      <left style="mediumDashed">
        <color theme="7" tint="0.39988402966399123"/>
      </left>
      <right/>
      <top style="medium">
        <color theme="8" tint="0.39994506668294322"/>
      </top>
      <bottom/>
      <diagonal/>
    </border>
    <border>
      <left/>
      <right/>
      <top style="medium">
        <color theme="8" tint="0.39994506668294322"/>
      </top>
      <bottom/>
      <diagonal/>
    </border>
    <border>
      <left/>
      <right style="mediumDashed">
        <color theme="8" tint="0.39991454817346722"/>
      </right>
      <top style="medium">
        <color theme="8" tint="0.39994506668294322"/>
      </top>
      <bottom/>
      <diagonal/>
    </border>
    <border>
      <left style="mediumDashed">
        <color theme="7" tint="0.39988402966399123"/>
      </left>
      <right/>
      <top/>
      <bottom/>
      <diagonal/>
    </border>
    <border>
      <left/>
      <right style="mediumDashed">
        <color theme="8" tint="0.39991454817346722"/>
      </right>
      <top/>
      <bottom/>
      <diagonal/>
    </border>
    <border>
      <left style="mediumDashed">
        <color theme="7" tint="0.39988402966399123"/>
      </left>
      <right/>
      <top/>
      <bottom style="thick">
        <color theme="8" tint="0.39994506668294322"/>
      </bottom>
      <diagonal/>
    </border>
    <border>
      <left/>
      <right style="mediumDashed">
        <color theme="8" tint="0.39991454817346722"/>
      </right>
      <top/>
      <bottom style="thick">
        <color theme="8" tint="0.39994506668294322"/>
      </bottom>
      <diagonal/>
    </border>
    <border>
      <left style="mediumDashed">
        <color theme="5" tint="0.39994506668294322"/>
      </left>
      <right/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/>
      <right style="mediumDashed">
        <color theme="6" tint="0.39994506668294322"/>
      </right>
      <top style="medium">
        <color theme="6" tint="0.39994506668294322"/>
      </top>
      <bottom/>
      <diagonal/>
    </border>
    <border>
      <left style="mediumDashed">
        <color theme="5" tint="0.39994506668294322"/>
      </left>
      <right/>
      <top/>
      <bottom/>
      <diagonal/>
    </border>
    <border>
      <left/>
      <right style="mediumDashed">
        <color theme="6" tint="0.39994506668294322"/>
      </right>
      <top/>
      <bottom/>
      <diagonal/>
    </border>
    <border>
      <left style="mediumDashed">
        <color theme="5" tint="0.39994506668294322"/>
      </left>
      <right/>
      <top/>
      <bottom style="thick">
        <color theme="6" tint="0.39994506668294322"/>
      </bottom>
      <diagonal/>
    </border>
    <border>
      <left/>
      <right style="mediumDashed">
        <color theme="6" tint="0.39994506668294322"/>
      </right>
      <top/>
      <bottom style="thick">
        <color theme="6" tint="0.39994506668294322"/>
      </bottom>
      <diagonal/>
    </border>
    <border>
      <left style="thick">
        <color theme="4" tint="0.39994506668294322"/>
      </left>
      <right/>
      <top style="medium">
        <color theme="4" tint="0.39991454817346722"/>
      </top>
      <bottom/>
      <diagonal/>
    </border>
    <border>
      <left/>
      <right/>
      <top style="medium">
        <color theme="4" tint="0.39991454817346722"/>
      </top>
      <bottom/>
      <diagonal/>
    </border>
    <border>
      <left/>
      <right style="mediumDashed">
        <color theme="4" tint="0.39991454817346722"/>
      </right>
      <top style="medium">
        <color theme="4" tint="0.39991454817346722"/>
      </top>
      <bottom/>
      <diagonal/>
    </border>
    <border>
      <left/>
      <right style="mediumDashed">
        <color theme="4" tint="0.39991454817346722"/>
      </right>
      <top/>
      <bottom/>
      <diagonal/>
    </border>
    <border>
      <left/>
      <right style="mediumDashed">
        <color theme="4" tint="0.39991454817346722"/>
      </right>
      <top/>
      <bottom style="thick">
        <color theme="4" tint="0.39994506668294322"/>
      </bottom>
      <diagonal/>
    </border>
    <border>
      <left/>
      <right style="mediumDashed">
        <color theme="5" tint="0.399914548173467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34">
    <xf numFmtId="0" fontId="0" fillId="0" borderId="0" xfId="0"/>
    <xf numFmtId="0" fontId="2" fillId="14" borderId="0" xfId="0" applyFont="1" applyFill="1" applyAlignment="1">
      <alignment horizontal="left" vertical="top" wrapText="1"/>
    </xf>
    <xf numFmtId="0" fontId="6" fillId="14" borderId="0" xfId="0" applyFont="1" applyFill="1"/>
    <xf numFmtId="0" fontId="6" fillId="14" borderId="0" xfId="0" applyFont="1" applyFill="1" applyAlignment="1">
      <alignment horizontal="left" vertical="top"/>
    </xf>
    <xf numFmtId="0" fontId="6" fillId="14" borderId="0" xfId="0" applyFont="1" applyFill="1" applyAlignment="1">
      <alignment horizontal="left"/>
    </xf>
    <xf numFmtId="0" fontId="5" fillId="14" borderId="0" xfId="0" applyFont="1" applyFill="1" applyAlignment="1">
      <alignment horizontal="center" vertical="top" wrapText="1"/>
    </xf>
    <xf numFmtId="0" fontId="7" fillId="14" borderId="0" xfId="0" applyFont="1" applyFill="1" applyAlignment="1">
      <alignment horizontal="left" vertical="top" wrapText="1"/>
    </xf>
    <xf numFmtId="9" fontId="6" fillId="14" borderId="0" xfId="1" applyFont="1" applyFill="1" applyBorder="1" applyAlignment="1">
      <alignment horizontal="left" vertical="top" wrapText="1"/>
    </xf>
    <xf numFmtId="0" fontId="6" fillId="14" borderId="0" xfId="0" applyFont="1" applyFill="1" applyAlignment="1">
      <alignment horizontal="left" vertical="top" wrapText="1"/>
    </xf>
    <xf numFmtId="0" fontId="6" fillId="14" borderId="0" xfId="0" applyFont="1" applyFill="1" applyAlignment="1">
      <alignment horizontal="left" vertical="center" wrapText="1"/>
    </xf>
    <xf numFmtId="0" fontId="5" fillId="14" borderId="0" xfId="0" applyFont="1" applyFill="1" applyAlignment="1">
      <alignment vertical="top" wrapText="1"/>
    </xf>
    <xf numFmtId="0" fontId="0" fillId="14" borderId="0" xfId="0" applyFill="1"/>
    <xf numFmtId="0" fontId="6" fillId="14" borderId="0" xfId="0" applyFont="1" applyFill="1" applyAlignment="1">
      <alignment vertical="top" wrapText="1"/>
    </xf>
    <xf numFmtId="0" fontId="4" fillId="14" borderId="0" xfId="0" applyFont="1" applyFill="1" applyAlignment="1">
      <alignment horizontal="left" vertical="top"/>
    </xf>
    <xf numFmtId="0" fontId="8" fillId="14" borderId="0" xfId="0" applyFont="1" applyFill="1" applyAlignment="1">
      <alignment horizontal="left" vertical="top" wrapText="1"/>
    </xf>
    <xf numFmtId="9" fontId="6" fillId="14" borderId="0" xfId="1" applyFont="1" applyFill="1" applyBorder="1" applyAlignment="1">
      <alignment horizontal="left" vertical="top"/>
    </xf>
    <xf numFmtId="0" fontId="2" fillId="0" borderId="37" xfId="0" applyFont="1" applyBorder="1" applyAlignment="1">
      <alignment horizontal="left" vertical="top" wrapText="1"/>
    </xf>
    <xf numFmtId="9" fontId="2" fillId="14" borderId="37" xfId="1" applyFont="1" applyFill="1" applyBorder="1" applyAlignment="1">
      <alignment horizontal="left" vertical="top" wrapText="1"/>
    </xf>
    <xf numFmtId="0" fontId="7" fillId="3" borderId="37" xfId="0" applyFont="1" applyFill="1" applyBorder="1" applyAlignment="1">
      <alignment horizontal="left" vertical="top" wrapText="1"/>
    </xf>
    <xf numFmtId="9" fontId="4" fillId="14" borderId="0" xfId="1" applyFont="1" applyFill="1" applyBorder="1" applyAlignment="1">
      <alignment horizontal="left" vertical="top" wrapText="1"/>
    </xf>
    <xf numFmtId="0" fontId="4" fillId="14" borderId="0" xfId="0" applyFont="1" applyFill="1" applyAlignment="1">
      <alignment horizontal="left" vertical="top" wrapText="1"/>
    </xf>
    <xf numFmtId="49" fontId="6" fillId="14" borderId="0" xfId="0" applyNumberFormat="1" applyFont="1" applyFill="1" applyAlignment="1">
      <alignment horizontal="left" vertical="top" wrapText="1"/>
    </xf>
    <xf numFmtId="0" fontId="6" fillId="14" borderId="0" xfId="0" applyFont="1" applyFill="1" applyAlignment="1">
      <alignment horizontal="center" vertical="top" wrapText="1"/>
    </xf>
    <xf numFmtId="0" fontId="4" fillId="15" borderId="37" xfId="0" applyFont="1" applyFill="1" applyBorder="1" applyAlignment="1">
      <alignment horizontal="left" vertical="top" wrapText="1"/>
    </xf>
    <xf numFmtId="0" fontId="4" fillId="15" borderId="37" xfId="0" applyFont="1" applyFill="1" applyBorder="1" applyAlignment="1">
      <alignment horizontal="left" vertical="top"/>
    </xf>
    <xf numFmtId="0" fontId="8" fillId="14" borderId="37" xfId="0" applyFont="1" applyFill="1" applyBorder="1" applyAlignment="1">
      <alignment horizontal="center" vertical="center" wrapText="1"/>
    </xf>
    <xf numFmtId="9" fontId="8" fillId="14" borderId="37" xfId="1" applyFont="1" applyFill="1" applyBorder="1" applyAlignment="1">
      <alignment horizontal="left" vertical="top" wrapText="1"/>
    </xf>
    <xf numFmtId="9" fontId="4" fillId="15" borderId="37" xfId="1" applyFont="1" applyFill="1" applyBorder="1" applyAlignment="1">
      <alignment horizontal="left" vertical="top" wrapText="1"/>
    </xf>
    <xf numFmtId="9" fontId="4" fillId="15" borderId="37" xfId="0" applyNumberFormat="1" applyFont="1" applyFill="1" applyBorder="1" applyAlignment="1">
      <alignment horizontal="left" vertical="top" wrapText="1"/>
    </xf>
    <xf numFmtId="0" fontId="8" fillId="14" borderId="37" xfId="0" applyFont="1" applyFill="1" applyBorder="1" applyAlignment="1">
      <alignment horizontal="left" vertical="top" wrapText="1"/>
    </xf>
    <xf numFmtId="0" fontId="6" fillId="14" borderId="37" xfId="0" applyFont="1" applyFill="1" applyBorder="1" applyAlignment="1">
      <alignment horizontal="left" vertical="top" wrapText="1"/>
    </xf>
    <xf numFmtId="9" fontId="6" fillId="14" borderId="37" xfId="1" applyFont="1" applyFill="1" applyBorder="1" applyAlignment="1">
      <alignment horizontal="left" vertical="top" wrapText="1"/>
    </xf>
    <xf numFmtId="9" fontId="4" fillId="15" borderId="37" xfId="1" applyFont="1" applyFill="1" applyBorder="1" applyAlignment="1">
      <alignment horizontal="left" vertical="top"/>
    </xf>
    <xf numFmtId="0" fontId="6" fillId="0" borderId="37" xfId="0" applyFont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 wrapText="1"/>
    </xf>
    <xf numFmtId="9" fontId="6" fillId="0" borderId="37" xfId="0" applyNumberFormat="1" applyFont="1" applyBorder="1" applyAlignment="1">
      <alignment horizontal="left" vertical="top" wrapText="1"/>
    </xf>
    <xf numFmtId="0" fontId="0" fillId="0" borderId="37" xfId="0" applyBorder="1" applyAlignment="1">
      <alignment vertical="center" wrapText="1"/>
    </xf>
    <xf numFmtId="0" fontId="0" fillId="0" borderId="37" xfId="0" applyBorder="1" applyAlignment="1">
      <alignment horizontal="right" vertical="center" wrapText="1"/>
    </xf>
    <xf numFmtId="10" fontId="0" fillId="0" borderId="37" xfId="0" applyNumberFormat="1" applyBorder="1" applyAlignment="1">
      <alignment horizontal="right" vertical="center" wrapText="1"/>
    </xf>
    <xf numFmtId="0" fontId="9" fillId="0" borderId="37" xfId="0" applyFont="1" applyBorder="1" applyAlignment="1">
      <alignment horizontal="left" vertical="top" wrapText="1"/>
    </xf>
    <xf numFmtId="0" fontId="9" fillId="0" borderId="37" xfId="0" applyFont="1" applyBorder="1" applyAlignment="1">
      <alignment horizontal="center" vertical="center" wrapText="1"/>
    </xf>
    <xf numFmtId="9" fontId="9" fillId="0" borderId="37" xfId="1" applyFont="1" applyBorder="1" applyAlignment="1">
      <alignment horizontal="center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center" vertical="center" wrapText="1"/>
    </xf>
    <xf numFmtId="9" fontId="6" fillId="0" borderId="37" xfId="1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center" vertical="center" wrapText="1"/>
    </xf>
    <xf numFmtId="9" fontId="6" fillId="0" borderId="37" xfId="0" applyNumberFormat="1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top"/>
    </xf>
    <xf numFmtId="9" fontId="8" fillId="0" borderId="37" xfId="1" applyFont="1" applyFill="1" applyBorder="1" applyAlignment="1">
      <alignment horizontal="center" vertical="center" wrapText="1"/>
    </xf>
    <xf numFmtId="0" fontId="6" fillId="14" borderId="37" xfId="0" applyFont="1" applyFill="1" applyBorder="1"/>
    <xf numFmtId="0" fontId="6" fillId="14" borderId="0" xfId="0" applyFont="1" applyFill="1" applyAlignment="1">
      <alignment horizontal="center" vertical="top"/>
    </xf>
    <xf numFmtId="0" fontId="7" fillId="2" borderId="1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7" fillId="7" borderId="27" xfId="0" applyFont="1" applyFill="1" applyBorder="1" applyAlignment="1">
      <alignment horizontal="left" vertical="top" wrapText="1"/>
    </xf>
    <xf numFmtId="0" fontId="7" fillId="7" borderId="0" xfId="0" applyFont="1" applyFill="1" applyAlignment="1">
      <alignment horizontal="left" vertical="top" wrapText="1"/>
    </xf>
    <xf numFmtId="0" fontId="7" fillId="7" borderId="0" xfId="0" applyFont="1" applyFill="1" applyAlignment="1">
      <alignment vertical="top" wrapText="1"/>
    </xf>
    <xf numFmtId="0" fontId="7" fillId="7" borderId="28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7" fillId="10" borderId="20" xfId="0" applyFont="1" applyFill="1" applyBorder="1" applyAlignment="1">
      <alignment horizontal="left" vertical="top" wrapText="1"/>
    </xf>
    <xf numFmtId="0" fontId="7" fillId="10" borderId="0" xfId="0" applyFont="1" applyFill="1" applyAlignment="1">
      <alignment horizontal="left" vertical="top" wrapText="1"/>
    </xf>
    <xf numFmtId="0" fontId="7" fillId="10" borderId="21" xfId="0" applyFont="1" applyFill="1" applyBorder="1" applyAlignment="1">
      <alignment horizontal="left" vertical="top" wrapText="1"/>
    </xf>
    <xf numFmtId="0" fontId="7" fillId="12" borderId="12" xfId="0" applyFont="1" applyFill="1" applyBorder="1" applyAlignment="1">
      <alignment horizontal="left" vertical="top" wrapText="1"/>
    </xf>
    <xf numFmtId="0" fontId="7" fillId="12" borderId="0" xfId="0" applyFont="1" applyFill="1" applyAlignment="1">
      <alignment horizontal="left" vertical="top" wrapText="1"/>
    </xf>
    <xf numFmtId="49" fontId="7" fillId="12" borderId="0" xfId="1" applyNumberFormat="1" applyFont="1" applyFill="1" applyBorder="1" applyAlignment="1">
      <alignment horizontal="left" vertical="top" wrapText="1"/>
    </xf>
    <xf numFmtId="0" fontId="7" fillId="12" borderId="13" xfId="0" applyFont="1" applyFill="1" applyBorder="1" applyAlignment="1">
      <alignment horizontal="left" vertical="top" wrapText="1"/>
    </xf>
    <xf numFmtId="0" fontId="6" fillId="14" borderId="1" xfId="0" applyFont="1" applyFill="1" applyBorder="1" applyAlignment="1">
      <alignment horizontal="left" vertical="top"/>
    </xf>
    <xf numFmtId="0" fontId="6" fillId="14" borderId="27" xfId="0" applyFont="1" applyFill="1" applyBorder="1" applyAlignment="1">
      <alignment horizontal="center" vertical="top"/>
    </xf>
    <xf numFmtId="0" fontId="6" fillId="14" borderId="28" xfId="0" applyFont="1" applyFill="1" applyBorder="1" applyAlignment="1">
      <alignment horizontal="left" vertical="top" wrapText="1"/>
    </xf>
    <xf numFmtId="0" fontId="6" fillId="14" borderId="20" xfId="0" applyFont="1" applyFill="1" applyBorder="1" applyAlignment="1">
      <alignment horizontal="left" vertical="top" wrapText="1"/>
    </xf>
    <xf numFmtId="0" fontId="6" fillId="14" borderId="21" xfId="0" applyFont="1" applyFill="1" applyBorder="1" applyAlignment="1">
      <alignment horizontal="left" vertical="top"/>
    </xf>
    <xf numFmtId="0" fontId="6" fillId="14" borderId="12" xfId="0" applyFont="1" applyFill="1" applyBorder="1" applyAlignment="1">
      <alignment horizontal="left" vertical="top"/>
    </xf>
    <xf numFmtId="0" fontId="6" fillId="14" borderId="13" xfId="0" applyFont="1" applyFill="1" applyBorder="1" applyAlignment="1">
      <alignment horizontal="center" vertical="top"/>
    </xf>
    <xf numFmtId="0" fontId="6" fillId="14" borderId="36" xfId="0" applyFont="1" applyFill="1" applyBorder="1" applyAlignment="1">
      <alignment horizontal="left" vertical="top"/>
    </xf>
    <xf numFmtId="0" fontId="6" fillId="14" borderId="2" xfId="0" applyFont="1" applyFill="1" applyBorder="1" applyAlignment="1">
      <alignment horizontal="left" vertical="top"/>
    </xf>
    <xf numFmtId="0" fontId="6" fillId="14" borderId="5" xfId="0" applyFont="1" applyFill="1" applyBorder="1" applyAlignment="1">
      <alignment horizontal="left" vertical="top" wrapText="1"/>
    </xf>
    <xf numFmtId="0" fontId="6" fillId="14" borderId="30" xfId="0" applyFont="1" applyFill="1" applyBorder="1" applyAlignment="1">
      <alignment horizontal="left" vertical="top" wrapText="1"/>
    </xf>
    <xf numFmtId="0" fontId="6" fillId="14" borderId="7" xfId="0" applyFont="1" applyFill="1" applyBorder="1" applyAlignment="1">
      <alignment horizontal="left" vertical="top"/>
    </xf>
    <xf numFmtId="0" fontId="6" fillId="14" borderId="22" xfId="0" applyFont="1" applyFill="1" applyBorder="1" applyAlignment="1">
      <alignment horizontal="left" vertical="top" wrapText="1"/>
    </xf>
    <xf numFmtId="0" fontId="6" fillId="14" borderId="8" xfId="0" applyFont="1" applyFill="1" applyBorder="1" applyAlignment="1">
      <alignment horizontal="left" vertical="top" wrapText="1"/>
    </xf>
    <xf numFmtId="0" fontId="6" fillId="14" borderId="8" xfId="0" applyFont="1" applyFill="1" applyBorder="1" applyAlignment="1">
      <alignment horizontal="left" vertical="top"/>
    </xf>
    <xf numFmtId="0" fontId="6" fillId="14" borderId="23" xfId="0" applyFont="1" applyFill="1" applyBorder="1" applyAlignment="1">
      <alignment horizontal="left" vertical="top"/>
    </xf>
    <xf numFmtId="0" fontId="6" fillId="14" borderId="14" xfId="0" applyFont="1" applyFill="1" applyBorder="1" applyAlignment="1">
      <alignment horizontal="left" vertical="top"/>
    </xf>
    <xf numFmtId="0" fontId="10" fillId="14" borderId="0" xfId="0" applyFont="1" applyFill="1" applyAlignment="1">
      <alignment horizontal="left" vertical="top"/>
    </xf>
    <xf numFmtId="0" fontId="7" fillId="2" borderId="34" xfId="0" applyFont="1" applyFill="1" applyBorder="1" applyAlignment="1">
      <alignment horizontal="left" vertical="top" wrapText="1"/>
    </xf>
    <xf numFmtId="0" fontId="11" fillId="14" borderId="0" xfId="0" applyFont="1" applyFill="1" applyAlignment="1">
      <alignment horizontal="left" vertical="top"/>
    </xf>
    <xf numFmtId="0" fontId="6" fillId="14" borderId="34" xfId="0" applyFont="1" applyFill="1" applyBorder="1" applyAlignment="1">
      <alignment horizontal="left" vertical="top" wrapText="1"/>
    </xf>
    <xf numFmtId="0" fontId="11" fillId="14" borderId="2" xfId="0" applyFont="1" applyFill="1" applyBorder="1" applyAlignment="1">
      <alignment horizontal="left" vertical="top"/>
    </xf>
    <xf numFmtId="0" fontId="6" fillId="14" borderId="35" xfId="0" applyFont="1" applyFill="1" applyBorder="1" applyAlignment="1">
      <alignment horizontal="left" vertical="top" wrapText="1"/>
    </xf>
    <xf numFmtId="0" fontId="6" fillId="14" borderId="4" xfId="0" applyFont="1" applyFill="1" applyBorder="1" applyAlignment="1">
      <alignment horizontal="left" vertical="top"/>
    </xf>
    <xf numFmtId="0" fontId="6" fillId="14" borderId="4" xfId="0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left" vertical="top"/>
    </xf>
    <xf numFmtId="0" fontId="12" fillId="14" borderId="0" xfId="0" applyFont="1" applyFill="1" applyAlignment="1">
      <alignment vertical="top"/>
    </xf>
    <xf numFmtId="0" fontId="13" fillId="14" borderId="0" xfId="0" applyFont="1" applyFill="1" applyAlignment="1">
      <alignment vertical="top"/>
    </xf>
    <xf numFmtId="0" fontId="0" fillId="14" borderId="0" xfId="2" applyFont="1" applyFill="1" applyBorder="1" applyAlignment="1">
      <alignment horizontal="left" vertical="top" wrapText="1"/>
    </xf>
    <xf numFmtId="0" fontId="6" fillId="14" borderId="38" xfId="0" applyFont="1" applyFill="1" applyBorder="1" applyAlignment="1">
      <alignment horizontal="left" vertical="top" wrapText="1"/>
    </xf>
    <xf numFmtId="0" fontId="6" fillId="14" borderId="38" xfId="0" applyFont="1" applyFill="1" applyBorder="1" applyAlignment="1">
      <alignment horizontal="left" vertical="top"/>
    </xf>
    <xf numFmtId="0" fontId="6" fillId="14" borderId="27" xfId="0" applyFont="1" applyFill="1" applyBorder="1" applyAlignment="1">
      <alignment horizontal="left" vertical="top"/>
    </xf>
    <xf numFmtId="0" fontId="6" fillId="14" borderId="13" xfId="0" applyFont="1" applyFill="1" applyBorder="1" applyAlignment="1">
      <alignment horizontal="left" vertical="top"/>
    </xf>
    <xf numFmtId="49" fontId="6" fillId="14" borderId="27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6" fillId="14" borderId="29" xfId="0" applyFont="1" applyFill="1" applyBorder="1" applyAlignment="1">
      <alignment horizontal="left" vertical="top"/>
    </xf>
    <xf numFmtId="0" fontId="6" fillId="14" borderId="15" xfId="0" applyFont="1" applyFill="1" applyBorder="1" applyAlignment="1">
      <alignment horizontal="left" vertical="top"/>
    </xf>
    <xf numFmtId="0" fontId="6" fillId="14" borderId="16" xfId="0" applyFont="1" applyFill="1" applyBorder="1" applyAlignment="1">
      <alignment horizontal="left" vertical="top"/>
    </xf>
    <xf numFmtId="0" fontId="2" fillId="0" borderId="41" xfId="0" applyFont="1" applyBorder="1" applyAlignment="1">
      <alignment horizontal="left" vertical="top" wrapText="1"/>
    </xf>
    <xf numFmtId="0" fontId="7" fillId="3" borderId="43" xfId="0" applyFont="1" applyFill="1" applyBorder="1" applyAlignment="1">
      <alignment horizontal="left" vertical="top" wrapText="1"/>
    </xf>
    <xf numFmtId="0" fontId="6" fillId="14" borderId="42" xfId="0" applyFont="1" applyFill="1" applyBorder="1" applyAlignment="1">
      <alignment horizontal="left" vertical="center"/>
    </xf>
    <xf numFmtId="0" fontId="6" fillId="3" borderId="0" xfId="0" applyFont="1" applyFill="1"/>
    <xf numFmtId="0" fontId="7" fillId="3" borderId="39" xfId="0" applyFont="1" applyFill="1" applyBorder="1" applyAlignment="1">
      <alignment horizontal="left" vertical="top" wrapText="1"/>
    </xf>
    <xf numFmtId="0" fontId="6" fillId="3" borderId="42" xfId="0" applyFont="1" applyFill="1" applyBorder="1"/>
    <xf numFmtId="0" fontId="6" fillId="14" borderId="0" xfId="0" applyFont="1" applyFill="1" applyAlignment="1">
      <alignment horizontal="center"/>
    </xf>
    <xf numFmtId="10" fontId="6" fillId="0" borderId="37" xfId="1" applyNumberFormat="1" applyFont="1" applyBorder="1" applyAlignment="1">
      <alignment horizontal="left" vertical="top" wrapText="1"/>
    </xf>
    <xf numFmtId="0" fontId="10" fillId="11" borderId="17" xfId="0" applyFont="1" applyFill="1" applyBorder="1" applyAlignment="1">
      <alignment horizontal="center" vertical="top"/>
    </xf>
    <xf numFmtId="0" fontId="10" fillId="11" borderId="18" xfId="0" applyFont="1" applyFill="1" applyBorder="1" applyAlignment="1">
      <alignment horizontal="center" vertical="top"/>
    </xf>
    <xf numFmtId="0" fontId="10" fillId="11" borderId="19" xfId="0" applyFont="1" applyFill="1" applyBorder="1" applyAlignment="1">
      <alignment horizontal="center" vertical="top"/>
    </xf>
    <xf numFmtId="0" fontId="10" fillId="13" borderId="9" xfId="0" applyFont="1" applyFill="1" applyBorder="1" applyAlignment="1">
      <alignment horizontal="center" vertical="top"/>
    </xf>
    <xf numFmtId="0" fontId="10" fillId="13" borderId="10" xfId="0" applyFont="1" applyFill="1" applyBorder="1" applyAlignment="1">
      <alignment horizontal="center" vertical="top"/>
    </xf>
    <xf numFmtId="0" fontId="10" fillId="13" borderId="11" xfId="0" applyFont="1" applyFill="1" applyBorder="1" applyAlignment="1">
      <alignment horizontal="center" vertical="top"/>
    </xf>
    <xf numFmtId="0" fontId="10" fillId="3" borderId="31" xfId="0" applyFont="1" applyFill="1" applyBorder="1" applyAlignment="1">
      <alignment horizontal="center" vertical="top"/>
    </xf>
    <xf numFmtId="0" fontId="10" fillId="3" borderId="32" xfId="0" applyFont="1" applyFill="1" applyBorder="1" applyAlignment="1">
      <alignment horizontal="center" vertical="top"/>
    </xf>
    <xf numFmtId="0" fontId="10" fillId="3" borderId="33" xfId="0" applyFont="1" applyFill="1" applyBorder="1" applyAlignment="1">
      <alignment horizontal="center" vertical="top"/>
    </xf>
    <xf numFmtId="0" fontId="10" fillId="5" borderId="3" xfId="0" applyFont="1" applyFill="1" applyBorder="1" applyAlignment="1">
      <alignment horizontal="center" vertical="top"/>
    </xf>
    <xf numFmtId="0" fontId="10" fillId="6" borderId="24" xfId="0" applyFont="1" applyFill="1" applyBorder="1" applyAlignment="1">
      <alignment horizontal="center" vertical="top" wrapText="1"/>
    </xf>
    <xf numFmtId="0" fontId="10" fillId="6" borderId="25" xfId="0" applyFont="1" applyFill="1" applyBorder="1" applyAlignment="1">
      <alignment horizontal="center" vertical="top"/>
    </xf>
    <xf numFmtId="0" fontId="10" fillId="6" borderId="26" xfId="0" applyFont="1" applyFill="1" applyBorder="1" applyAlignment="1">
      <alignment horizontal="center" vertical="top"/>
    </xf>
    <xf numFmtId="0" fontId="10" fillId="9" borderId="6" xfId="0" applyFont="1" applyFill="1" applyBorder="1" applyAlignment="1">
      <alignment horizontal="center" vertical="top"/>
    </xf>
    <xf numFmtId="0" fontId="4" fillId="15" borderId="37" xfId="0" applyFont="1" applyFill="1" applyBorder="1" applyAlignment="1">
      <alignment horizontal="left" vertical="top" wrapText="1"/>
    </xf>
    <xf numFmtId="0" fontId="4" fillId="15" borderId="37" xfId="0" applyFont="1" applyFill="1" applyBorder="1" applyAlignment="1">
      <alignment horizontal="left" vertical="top"/>
    </xf>
    <xf numFmtId="0" fontId="6" fillId="14" borderId="0" xfId="0" applyFont="1" applyFill="1" applyAlignment="1">
      <alignment horizontal="center" vertical="top" wrapText="1"/>
    </xf>
    <xf numFmtId="0" fontId="4" fillId="15" borderId="39" xfId="0" applyFont="1" applyFill="1" applyBorder="1" applyAlignment="1">
      <alignment horizontal="center" vertical="top" wrapText="1"/>
    </xf>
    <xf numFmtId="0" fontId="4" fillId="15" borderId="40" xfId="0" applyFont="1" applyFill="1" applyBorder="1" applyAlignment="1">
      <alignment horizontal="center" vertical="top" wrapText="1"/>
    </xf>
    <xf numFmtId="0" fontId="4" fillId="15" borderId="41" xfId="0" applyFont="1" applyFill="1" applyBorder="1" applyAlignment="1">
      <alignment horizontal="center" vertical="top" wrapText="1"/>
    </xf>
    <xf numFmtId="0" fontId="6" fillId="14" borderId="42" xfId="0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02/edn3.158" TargetMode="External"/><Relationship Id="rId18" Type="http://schemas.openxmlformats.org/officeDocument/2006/relationships/hyperlink" Target="https://doi.org/10.7717/peerj.4486" TargetMode="External"/><Relationship Id="rId26" Type="http://schemas.openxmlformats.org/officeDocument/2006/relationships/hyperlink" Target="https://doi.org/10.1002/ece3.73240?utm_source=chatgpt.com" TargetMode="External"/><Relationship Id="rId39" Type="http://schemas.openxmlformats.org/officeDocument/2006/relationships/hyperlink" Target="https://doi.org/10.1111/1755-0998.13715" TargetMode="External"/><Relationship Id="rId21" Type="http://schemas.openxmlformats.org/officeDocument/2006/relationships/hyperlink" Target="https://doi.org/10.1002/edn3.241" TargetMode="External"/><Relationship Id="rId34" Type="http://schemas.openxmlformats.org/officeDocument/2006/relationships/hyperlink" Target="https://doi.org/10.1111/jfb.14190" TargetMode="External"/><Relationship Id="rId42" Type="http://schemas.openxmlformats.org/officeDocument/2006/relationships/hyperlink" Target="https://doi.org/10.1038/s41598-019-51398-0" TargetMode="External"/><Relationship Id="rId47" Type="http://schemas.openxmlformats.org/officeDocument/2006/relationships/hyperlink" Target="https://doi.org/10.3389/fmars.2024.1289589" TargetMode="External"/><Relationship Id="rId50" Type="http://schemas.openxmlformats.org/officeDocument/2006/relationships/hyperlink" Target="https://doi.org/10.3390/fishes10090430" TargetMode="External"/><Relationship Id="rId55" Type="http://schemas.openxmlformats.org/officeDocument/2006/relationships/hyperlink" Target="https://doi.org/10.1002/edn3.70182" TargetMode="External"/><Relationship Id="rId7" Type="http://schemas.openxmlformats.org/officeDocument/2006/relationships/hyperlink" Target="https://doi.org/10.1038/s41467-020-17337-8" TargetMode="External"/><Relationship Id="rId2" Type="http://schemas.openxmlformats.org/officeDocument/2006/relationships/hyperlink" Target="https://doi.org/10.1002/edn3.136" TargetMode="External"/><Relationship Id="rId16" Type="http://schemas.openxmlformats.org/officeDocument/2006/relationships/hyperlink" Target="https://doi.org/10.1002/edn3.70004?utm_source=chatgpt.com" TargetMode="External"/><Relationship Id="rId29" Type="http://schemas.openxmlformats.org/officeDocument/2006/relationships/hyperlink" Target="https://doi.org/10.1002/aqc.3163" TargetMode="External"/><Relationship Id="rId11" Type="http://schemas.openxmlformats.org/officeDocument/2006/relationships/hyperlink" Target="https://doi.org/10.1002/aqc.2890" TargetMode="External"/><Relationship Id="rId24" Type="http://schemas.openxmlformats.org/officeDocument/2006/relationships/hyperlink" Target="https://doi.org/10.1016/j.ecolind.2022.108968" TargetMode="External"/><Relationship Id="rId32" Type="http://schemas.openxmlformats.org/officeDocument/2006/relationships/hyperlink" Target="https://doi.org/10.1002/edn3.33" TargetMode="External"/><Relationship Id="rId37" Type="http://schemas.openxmlformats.org/officeDocument/2006/relationships/hyperlink" Target="https://doi.org/10.1002/ece3.2186" TargetMode="External"/><Relationship Id="rId40" Type="http://schemas.openxmlformats.org/officeDocument/2006/relationships/hyperlink" Target="https://doi.org/10.1038/s41598-018-28424-8" TargetMode="External"/><Relationship Id="rId45" Type="http://schemas.openxmlformats.org/officeDocument/2006/relationships/hyperlink" Target="https://doi.org/10.1111/mec.13428" TargetMode="External"/><Relationship Id="rId53" Type="http://schemas.openxmlformats.org/officeDocument/2006/relationships/hyperlink" Target="https://doi.org/10.1016/j.gecco.2023.e02448" TargetMode="External"/><Relationship Id="rId5" Type="http://schemas.openxmlformats.org/officeDocument/2006/relationships/hyperlink" Target="https://doi.org/10.1038/s41598-019-39399-5" TargetMode="External"/><Relationship Id="rId19" Type="http://schemas.openxmlformats.org/officeDocument/2006/relationships/hyperlink" Target="https://doi.org/10.1111/jfb.14383" TargetMode="External"/><Relationship Id="rId4" Type="http://schemas.openxmlformats.org/officeDocument/2006/relationships/hyperlink" Target="https://doi.org/10.3897/mbmg.7.96780" TargetMode="External"/><Relationship Id="rId9" Type="http://schemas.openxmlformats.org/officeDocument/2006/relationships/hyperlink" Target="https://doi.org/10.1111/1755-0998.12900" TargetMode="External"/><Relationship Id="rId14" Type="http://schemas.openxmlformats.org/officeDocument/2006/relationships/hyperlink" Target="https://doi.org/10.3390/ani15020285" TargetMode="External"/><Relationship Id="rId22" Type="http://schemas.openxmlformats.org/officeDocument/2006/relationships/hyperlink" Target="https://doi.org/10.1016/j.gecco.2020.e01245" TargetMode="External"/><Relationship Id="rId27" Type="http://schemas.openxmlformats.org/officeDocument/2006/relationships/hyperlink" Target="https://doi.org/10.1371/journal.pone.0147558" TargetMode="External"/><Relationship Id="rId30" Type="http://schemas.openxmlformats.org/officeDocument/2006/relationships/hyperlink" Target="https://doi.org/10.1002/ece3.70627" TargetMode="External"/><Relationship Id="rId35" Type="http://schemas.openxmlformats.org/officeDocument/2006/relationships/hyperlink" Target="https://doi.org/10.3389/fevo.2021.629217" TargetMode="External"/><Relationship Id="rId43" Type="http://schemas.openxmlformats.org/officeDocument/2006/relationships/hyperlink" Target="https://doi.org/10.1002/edn3.171" TargetMode="External"/><Relationship Id="rId48" Type="http://schemas.openxmlformats.org/officeDocument/2006/relationships/hyperlink" Target="https://doi.org/10.1016/j.biocon.2015.12.023" TargetMode="External"/><Relationship Id="rId56" Type="http://schemas.openxmlformats.org/officeDocument/2006/relationships/hyperlink" Target="https://doi.org/10.1016/j.jglr.2024.102317" TargetMode="External"/><Relationship Id="rId8" Type="http://schemas.openxmlformats.org/officeDocument/2006/relationships/hyperlink" Target="https://doi.org/10.3389/fenvs.2021.639380" TargetMode="External"/><Relationship Id="rId51" Type="http://schemas.openxmlformats.org/officeDocument/2006/relationships/hyperlink" Target="https://doi.org/10.1038/s41598-025-32964-1" TargetMode="External"/><Relationship Id="rId3" Type="http://schemas.openxmlformats.org/officeDocument/2006/relationships/hyperlink" Target="https://doi.org/10.3897/mbmg.2.30457?utm_source=chatgpt.com" TargetMode="External"/><Relationship Id="rId12" Type="http://schemas.openxmlformats.org/officeDocument/2006/relationships/hyperlink" Target="https://doi.org/10.1016/j.scitotenv.2021.148054" TargetMode="External"/><Relationship Id="rId17" Type="http://schemas.openxmlformats.org/officeDocument/2006/relationships/hyperlink" Target="https://doi.org/10.1371/journal.pone.0296310" TargetMode="External"/><Relationship Id="rId25" Type="http://schemas.openxmlformats.org/officeDocument/2006/relationships/hyperlink" Target="https://doi.org/10.1111/1755-0998.12285" TargetMode="External"/><Relationship Id="rId33" Type="http://schemas.openxmlformats.org/officeDocument/2006/relationships/hyperlink" Target="https://doi.org/10.1007/s10531-022-02459-w" TargetMode="External"/><Relationship Id="rId38" Type="http://schemas.openxmlformats.org/officeDocument/2006/relationships/hyperlink" Target="https://doi.org/10.1016/j.ecolind.2026.114694" TargetMode="External"/><Relationship Id="rId46" Type="http://schemas.openxmlformats.org/officeDocument/2006/relationships/hyperlink" Target="https://doi.org/10.1016/j.envres.2023.115857" TargetMode="External"/><Relationship Id="rId20" Type="http://schemas.openxmlformats.org/officeDocument/2006/relationships/hyperlink" Target="https://doi.org/10.1111/jfb.14497" TargetMode="External"/><Relationship Id="rId41" Type="http://schemas.openxmlformats.org/officeDocument/2006/relationships/hyperlink" Target="https://doi.org/10.1007/s10530-019-02056-z" TargetMode="External"/><Relationship Id="rId54" Type="http://schemas.openxmlformats.org/officeDocument/2006/relationships/hyperlink" Target="https://doi.org/10.3897/mbmg.9.151675" TargetMode="External"/><Relationship Id="rId1" Type="http://schemas.openxmlformats.org/officeDocument/2006/relationships/hyperlink" Target="https://doi.org/10.1002/aqc.3601" TargetMode="External"/><Relationship Id="rId6" Type="http://schemas.openxmlformats.org/officeDocument/2006/relationships/hyperlink" Target="https://doi.org/10.1016/j.biocon.2020.108750" TargetMode="External"/><Relationship Id="rId15" Type="http://schemas.openxmlformats.org/officeDocument/2006/relationships/hyperlink" Target="https://doi.org/10.1016/j.envres.2025.121238" TargetMode="External"/><Relationship Id="rId23" Type="http://schemas.openxmlformats.org/officeDocument/2006/relationships/hyperlink" Target="https://doi.org/10.1002/ece3.9785" TargetMode="External"/><Relationship Id="rId28" Type="http://schemas.openxmlformats.org/officeDocument/2006/relationships/hyperlink" Target="https://doi.org/10.1002/edn3.510" TargetMode="External"/><Relationship Id="rId36" Type="http://schemas.openxmlformats.org/officeDocument/2006/relationships/hyperlink" Target="https://doi.org/10.3390/fishes11040219" TargetMode="External"/><Relationship Id="rId49" Type="http://schemas.openxmlformats.org/officeDocument/2006/relationships/hyperlink" Target="https://doi.org/10.1016/j.gecco.2025.e03963" TargetMode="External"/><Relationship Id="rId57" Type="http://schemas.openxmlformats.org/officeDocument/2006/relationships/hyperlink" Target="https://doi.org/10.1111/mec.15644?utm_source=chatgpt.com" TargetMode="External"/><Relationship Id="rId10" Type="http://schemas.openxmlformats.org/officeDocument/2006/relationships/hyperlink" Target="https://doi.org/10.1371/journal.pone.0157366" TargetMode="External"/><Relationship Id="rId31" Type="http://schemas.openxmlformats.org/officeDocument/2006/relationships/hyperlink" Target="https://doi.org/10.46989/001c.153969" TargetMode="External"/><Relationship Id="rId44" Type="http://schemas.openxmlformats.org/officeDocument/2006/relationships/hyperlink" Target="https://doi.org/10.1016/j.biocon.2018.01.030" TargetMode="External"/><Relationship Id="rId52" Type="http://schemas.openxmlformats.org/officeDocument/2006/relationships/hyperlink" Target="https://doi.org/10.1007/s10201-020-00645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1"/>
  <sheetViews>
    <sheetView tabSelected="1" zoomScaleNormal="100" workbookViewId="0">
      <selection activeCell="AM61" sqref="AM61"/>
    </sheetView>
  </sheetViews>
  <sheetFormatPr defaultColWidth="14.90625" defaultRowHeight="15.5" x14ac:dyDescent="0.35"/>
  <cols>
    <col min="1" max="1" width="8.81640625" style="3" bestFit="1" customWidth="1"/>
    <col min="2" max="2" width="20.1796875" style="3" bestFit="1" customWidth="1"/>
    <col min="3" max="3" width="60.54296875" style="8" customWidth="1"/>
    <col min="4" max="4" width="32.1796875" style="3" customWidth="1"/>
    <col min="5" max="5" width="14.54296875" style="3" customWidth="1"/>
    <col min="6" max="6" width="19.453125" style="3" customWidth="1"/>
    <col min="7" max="7" width="58.7265625" style="8" customWidth="1"/>
    <col min="8" max="8" width="27.36328125" style="3" bestFit="1" customWidth="1"/>
    <col min="9" max="9" width="11.81640625" style="3" customWidth="1"/>
    <col min="10" max="10" width="16.54296875" style="8" customWidth="1"/>
    <col min="11" max="11" width="13.453125" style="3" bestFit="1" customWidth="1"/>
    <col min="12" max="12" width="16.08984375" style="3" bestFit="1" customWidth="1"/>
    <col min="13" max="13" width="21.6328125" style="3" customWidth="1"/>
    <col min="14" max="14" width="20.81640625" style="3" customWidth="1"/>
    <col min="15" max="15" width="16.54296875" style="51" customWidth="1"/>
    <col min="16" max="16" width="13" style="51" customWidth="1"/>
    <col min="17" max="17" width="21.453125" style="51" customWidth="1"/>
    <col min="18" max="18" width="14.81640625" style="51" customWidth="1"/>
    <col min="19" max="19" width="14" style="3" bestFit="1" customWidth="1"/>
    <col min="20" max="20" width="16" style="8" customWidth="1"/>
    <col min="21" max="21" width="14.26953125" style="8" customWidth="1"/>
    <col min="22" max="22" width="14.54296875" style="3" bestFit="1" customWidth="1"/>
    <col min="23" max="23" width="12.7265625" style="3" bestFit="1" customWidth="1"/>
    <col min="24" max="24" width="15.90625" style="3" customWidth="1"/>
    <col min="25" max="25" width="18.36328125" style="8" customWidth="1"/>
    <col min="26" max="26" width="26.26953125" style="8" customWidth="1"/>
    <col min="27" max="27" width="19.08984375" style="8" customWidth="1"/>
    <col min="28" max="28" width="25.08984375" style="8" customWidth="1"/>
    <col min="29" max="29" width="57" style="3" customWidth="1"/>
    <col min="30" max="30" width="18.90625" style="3" customWidth="1"/>
    <col min="31" max="31" width="23" style="3" customWidth="1"/>
    <col min="32" max="32" width="20.36328125" style="3" customWidth="1"/>
    <col min="33" max="33" width="19.453125" style="8" customWidth="1"/>
    <col min="34" max="34" width="23.1796875" style="8" customWidth="1"/>
    <col min="35" max="35" width="19.7265625" style="3" customWidth="1"/>
    <col min="36" max="36" width="24.453125" style="8" customWidth="1"/>
    <col min="37" max="37" width="32.81640625" style="8" customWidth="1"/>
    <col min="38" max="38" width="22.6328125" style="3" customWidth="1"/>
    <col min="39" max="39" width="22.08984375" style="3" customWidth="1"/>
    <col min="40" max="40" width="11.54296875" style="51" bestFit="1" customWidth="1"/>
    <col min="41" max="41" width="20.1796875" style="51" customWidth="1"/>
    <col min="42" max="42" width="11.54296875" style="51" customWidth="1"/>
    <col min="43" max="43" width="15.26953125" style="51" customWidth="1"/>
    <col min="44" max="44" width="13.453125" style="51" customWidth="1"/>
    <col min="45" max="45" width="14.6328125" style="51" bestFit="1" customWidth="1"/>
    <col min="46" max="16384" width="14.90625" style="3"/>
  </cols>
  <sheetData>
    <row r="1" spans="1:45" s="84" customFormat="1" ht="18" thickTop="1" x14ac:dyDescent="0.35">
      <c r="A1" s="119" t="s">
        <v>4</v>
      </c>
      <c r="B1" s="120"/>
      <c r="C1" s="120"/>
      <c r="D1" s="120"/>
      <c r="E1" s="120"/>
      <c r="F1" s="120"/>
      <c r="G1" s="121"/>
      <c r="H1" s="122" t="s">
        <v>64</v>
      </c>
      <c r="I1" s="122"/>
      <c r="J1" s="122"/>
      <c r="K1" s="122"/>
      <c r="L1" s="122"/>
      <c r="M1" s="122"/>
      <c r="N1" s="122"/>
      <c r="O1" s="123" t="s">
        <v>104</v>
      </c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5"/>
      <c r="AC1" s="126" t="s">
        <v>103</v>
      </c>
      <c r="AD1" s="126"/>
      <c r="AE1" s="126"/>
      <c r="AF1" s="126"/>
      <c r="AG1" s="113" t="s">
        <v>105</v>
      </c>
      <c r="AH1" s="114"/>
      <c r="AI1" s="114"/>
      <c r="AJ1" s="114"/>
      <c r="AK1" s="114"/>
      <c r="AL1" s="115"/>
      <c r="AM1" s="116" t="s">
        <v>106</v>
      </c>
      <c r="AN1" s="117"/>
      <c r="AO1" s="117"/>
      <c r="AP1" s="117"/>
      <c r="AQ1" s="117"/>
      <c r="AR1" s="117"/>
      <c r="AS1" s="118"/>
    </row>
    <row r="2" spans="1:45" s="6" customFormat="1" ht="60" x14ac:dyDescent="0.35">
      <c r="A2" s="52" t="s">
        <v>3</v>
      </c>
      <c r="B2" s="53" t="s">
        <v>63</v>
      </c>
      <c r="C2" s="53" t="s">
        <v>899</v>
      </c>
      <c r="D2" s="53" t="s">
        <v>65</v>
      </c>
      <c r="E2" s="53" t="s">
        <v>0</v>
      </c>
      <c r="F2" s="53" t="s">
        <v>66</v>
      </c>
      <c r="G2" s="85" t="s">
        <v>267</v>
      </c>
      <c r="H2" s="54" t="s">
        <v>67</v>
      </c>
      <c r="I2" s="54" t="s">
        <v>68</v>
      </c>
      <c r="J2" s="54" t="s">
        <v>69</v>
      </c>
      <c r="K2" s="54" t="s">
        <v>70</v>
      </c>
      <c r="L2" s="54" t="s">
        <v>71</v>
      </c>
      <c r="M2" s="54" t="s">
        <v>72</v>
      </c>
      <c r="N2" s="54" t="s">
        <v>73</v>
      </c>
      <c r="O2" s="55" t="s">
        <v>74</v>
      </c>
      <c r="P2" s="56" t="s">
        <v>75</v>
      </c>
      <c r="Q2" s="56" t="s">
        <v>1</v>
      </c>
      <c r="R2" s="56" t="s">
        <v>76</v>
      </c>
      <c r="S2" s="56" t="s">
        <v>77</v>
      </c>
      <c r="T2" s="56" t="s">
        <v>78</v>
      </c>
      <c r="U2" s="56" t="s">
        <v>79</v>
      </c>
      <c r="V2" s="56" t="s">
        <v>80</v>
      </c>
      <c r="W2" s="56" t="s">
        <v>81</v>
      </c>
      <c r="X2" s="56" t="s">
        <v>82</v>
      </c>
      <c r="Y2" s="56" t="s">
        <v>2</v>
      </c>
      <c r="Z2" s="56" t="s">
        <v>83</v>
      </c>
      <c r="AA2" s="56" t="s">
        <v>84</v>
      </c>
      <c r="AB2" s="58" t="s">
        <v>85</v>
      </c>
      <c r="AC2" s="59" t="s">
        <v>86</v>
      </c>
      <c r="AD2" s="59" t="s">
        <v>87</v>
      </c>
      <c r="AE2" s="59" t="s">
        <v>88</v>
      </c>
      <c r="AF2" s="59" t="s">
        <v>89</v>
      </c>
      <c r="AG2" s="60" t="s">
        <v>90</v>
      </c>
      <c r="AH2" s="61" t="s">
        <v>91</v>
      </c>
      <c r="AI2" s="61" t="s">
        <v>92</v>
      </c>
      <c r="AJ2" s="61" t="s">
        <v>93</v>
      </c>
      <c r="AK2" s="61" t="s">
        <v>94</v>
      </c>
      <c r="AL2" s="62" t="s">
        <v>95</v>
      </c>
      <c r="AM2" s="63" t="s">
        <v>96</v>
      </c>
      <c r="AN2" s="64" t="s">
        <v>97</v>
      </c>
      <c r="AO2" s="64" t="s">
        <v>98</v>
      </c>
      <c r="AP2" s="64" t="s">
        <v>99</v>
      </c>
      <c r="AQ2" s="65" t="s">
        <v>100</v>
      </c>
      <c r="AR2" s="64" t="s">
        <v>101</v>
      </c>
      <c r="AS2" s="66" t="s">
        <v>856</v>
      </c>
    </row>
    <row r="3" spans="1:45" ht="58" x14ac:dyDescent="0.35">
      <c r="A3" s="67" t="s">
        <v>5</v>
      </c>
      <c r="B3" s="3" t="s">
        <v>107</v>
      </c>
      <c r="C3" s="95" t="s">
        <v>984</v>
      </c>
      <c r="D3" s="86" t="s">
        <v>156</v>
      </c>
      <c r="E3" s="3" t="s">
        <v>185</v>
      </c>
      <c r="F3" s="3" t="s">
        <v>190</v>
      </c>
      <c r="G3" s="87" t="s">
        <v>836</v>
      </c>
      <c r="H3" s="3" t="s">
        <v>268</v>
      </c>
      <c r="I3" s="3" t="s">
        <v>839</v>
      </c>
      <c r="J3" s="8" t="s">
        <v>275</v>
      </c>
      <c r="K3" s="3" t="s">
        <v>275</v>
      </c>
      <c r="L3" s="3" t="s">
        <v>281</v>
      </c>
      <c r="M3" s="3" t="s">
        <v>837</v>
      </c>
      <c r="N3" s="3" t="s">
        <v>283</v>
      </c>
      <c r="O3" s="98">
        <v>5</v>
      </c>
      <c r="P3" s="3">
        <v>1</v>
      </c>
      <c r="Q3" s="3">
        <v>5</v>
      </c>
      <c r="R3" s="3">
        <v>6</v>
      </c>
      <c r="S3" s="3" t="s">
        <v>323</v>
      </c>
      <c r="T3" s="8" t="s">
        <v>324</v>
      </c>
      <c r="U3" s="8" t="s">
        <v>325</v>
      </c>
      <c r="V3" s="3" t="s">
        <v>326</v>
      </c>
      <c r="W3" s="3" t="s">
        <v>327</v>
      </c>
      <c r="X3" s="3" t="s">
        <v>387</v>
      </c>
      <c r="Y3" s="8" t="s">
        <v>388</v>
      </c>
      <c r="Z3" s="8" t="s">
        <v>690</v>
      </c>
      <c r="AA3" s="8" t="s">
        <v>389</v>
      </c>
      <c r="AB3" s="69" t="s">
        <v>707</v>
      </c>
      <c r="AC3" s="3" t="s">
        <v>731</v>
      </c>
      <c r="AD3" s="3" t="s">
        <v>415</v>
      </c>
      <c r="AE3" s="3" t="s">
        <v>416</v>
      </c>
      <c r="AF3" s="3">
        <v>199</v>
      </c>
      <c r="AG3" s="70" t="s">
        <v>482</v>
      </c>
      <c r="AH3" s="8" t="s">
        <v>493</v>
      </c>
      <c r="AI3" s="3" t="s">
        <v>494</v>
      </c>
      <c r="AJ3" s="8" t="s">
        <v>495</v>
      </c>
      <c r="AK3" s="8" t="s">
        <v>496</v>
      </c>
      <c r="AL3" s="71" t="s">
        <v>950</v>
      </c>
      <c r="AM3" s="72" t="s">
        <v>606</v>
      </c>
      <c r="AN3" s="3">
        <v>4</v>
      </c>
      <c r="AO3" s="3" t="s">
        <v>607</v>
      </c>
      <c r="AP3" s="3" t="s">
        <v>608</v>
      </c>
      <c r="AQ3" s="3" t="s">
        <v>609</v>
      </c>
      <c r="AR3" s="3" t="s">
        <v>610</v>
      </c>
      <c r="AS3" s="99" t="s">
        <v>611</v>
      </c>
    </row>
    <row r="4" spans="1:45" ht="72.5" x14ac:dyDescent="0.35">
      <c r="A4" s="67" t="s">
        <v>6</v>
      </c>
      <c r="B4" s="3" t="s">
        <v>107</v>
      </c>
      <c r="C4" s="95" t="s">
        <v>985</v>
      </c>
      <c r="D4" s="86" t="s">
        <v>157</v>
      </c>
      <c r="E4" s="3" t="s">
        <v>185</v>
      </c>
      <c r="F4" s="3" t="s">
        <v>190</v>
      </c>
      <c r="G4" s="87" t="s">
        <v>214</v>
      </c>
      <c r="H4" s="3" t="s">
        <v>268</v>
      </c>
      <c r="I4" s="3" t="s">
        <v>274</v>
      </c>
      <c r="J4" s="8" t="s">
        <v>284</v>
      </c>
      <c r="K4" s="3" t="s">
        <v>275</v>
      </c>
      <c r="L4" s="3" t="s">
        <v>281</v>
      </c>
      <c r="M4" s="3" t="s">
        <v>285</v>
      </c>
      <c r="N4" s="3" t="s">
        <v>283</v>
      </c>
      <c r="O4" s="98">
        <v>5</v>
      </c>
      <c r="P4" s="3">
        <v>1</v>
      </c>
      <c r="Q4" s="3">
        <v>5</v>
      </c>
      <c r="R4" s="3">
        <v>9</v>
      </c>
      <c r="S4" s="3" t="s">
        <v>323</v>
      </c>
      <c r="T4" s="8" t="s">
        <v>324</v>
      </c>
      <c r="U4" s="8" t="s">
        <v>325</v>
      </c>
      <c r="V4" s="3" t="s">
        <v>326</v>
      </c>
      <c r="W4" s="3" t="s">
        <v>328</v>
      </c>
      <c r="X4" s="3" t="s">
        <v>387</v>
      </c>
      <c r="Y4" s="8" t="s">
        <v>388</v>
      </c>
      <c r="Z4" s="8" t="s">
        <v>691</v>
      </c>
      <c r="AA4" s="8" t="s">
        <v>389</v>
      </c>
      <c r="AB4" s="69" t="s">
        <v>707</v>
      </c>
      <c r="AC4" s="3" t="s">
        <v>731</v>
      </c>
      <c r="AD4" s="3" t="s">
        <v>417</v>
      </c>
      <c r="AE4" s="3" t="s">
        <v>418</v>
      </c>
      <c r="AF4" s="3">
        <v>70</v>
      </c>
      <c r="AG4" s="70" t="s">
        <v>483</v>
      </c>
      <c r="AH4" s="8" t="s">
        <v>275</v>
      </c>
      <c r="AI4" s="3" t="s">
        <v>275</v>
      </c>
      <c r="AJ4" s="8" t="s">
        <v>275</v>
      </c>
      <c r="AK4" s="8" t="s">
        <v>275</v>
      </c>
      <c r="AL4" s="71" t="s">
        <v>275</v>
      </c>
      <c r="AM4" s="72" t="s">
        <v>275</v>
      </c>
      <c r="AN4" s="3" t="s">
        <v>275</v>
      </c>
      <c r="AO4" s="3" t="s">
        <v>275</v>
      </c>
      <c r="AP4" s="3" t="s">
        <v>275</v>
      </c>
      <c r="AQ4" s="3" t="s">
        <v>275</v>
      </c>
      <c r="AR4" s="3" t="s">
        <v>275</v>
      </c>
      <c r="AS4" s="99" t="s">
        <v>275</v>
      </c>
    </row>
    <row r="5" spans="1:45" ht="62" x14ac:dyDescent="0.35">
      <c r="A5" s="67" t="s">
        <v>7</v>
      </c>
      <c r="B5" s="3" t="s">
        <v>153</v>
      </c>
      <c r="C5" s="95" t="s">
        <v>986</v>
      </c>
      <c r="D5" s="86" t="s">
        <v>156</v>
      </c>
      <c r="E5" s="3" t="s">
        <v>189</v>
      </c>
      <c r="F5" s="3" t="s">
        <v>213</v>
      </c>
      <c r="G5" s="87" t="s">
        <v>264</v>
      </c>
      <c r="H5" s="3" t="s">
        <v>273</v>
      </c>
      <c r="I5" s="3" t="s">
        <v>275</v>
      </c>
      <c r="J5" s="8" t="s">
        <v>275</v>
      </c>
      <c r="K5" s="3" t="s">
        <v>275</v>
      </c>
      <c r="L5" s="3" t="s">
        <v>287</v>
      </c>
      <c r="M5" s="3" t="s">
        <v>321</v>
      </c>
      <c r="N5" s="3" t="s">
        <v>294</v>
      </c>
      <c r="O5" s="98">
        <v>1</v>
      </c>
      <c r="P5" s="3">
        <v>1</v>
      </c>
      <c r="Q5" s="3" t="s">
        <v>382</v>
      </c>
      <c r="R5" s="3">
        <v>47</v>
      </c>
      <c r="S5" s="3" t="s">
        <v>341</v>
      </c>
      <c r="T5" s="8" t="s">
        <v>324</v>
      </c>
      <c r="U5" s="8" t="s">
        <v>325</v>
      </c>
      <c r="V5" s="3" t="s">
        <v>383</v>
      </c>
      <c r="W5" s="3" t="s">
        <v>333</v>
      </c>
      <c r="X5" s="3" t="s">
        <v>387</v>
      </c>
      <c r="Y5" s="8" t="s">
        <v>412</v>
      </c>
      <c r="Z5" s="8" t="s">
        <v>275</v>
      </c>
      <c r="AA5" s="8" t="s">
        <v>413</v>
      </c>
      <c r="AB5" s="69" t="s">
        <v>275</v>
      </c>
      <c r="AC5" s="3" t="s">
        <v>745</v>
      </c>
      <c r="AD5" s="3" t="s">
        <v>419</v>
      </c>
      <c r="AE5" s="3" t="s">
        <v>479</v>
      </c>
      <c r="AF5" s="3" t="s">
        <v>275</v>
      </c>
      <c r="AG5" s="70" t="s">
        <v>482</v>
      </c>
      <c r="AH5" s="8" t="s">
        <v>597</v>
      </c>
      <c r="AI5" s="3" t="s">
        <v>494</v>
      </c>
      <c r="AJ5" s="8" t="s">
        <v>598</v>
      </c>
      <c r="AK5" s="8" t="s">
        <v>599</v>
      </c>
      <c r="AL5" s="71" t="s">
        <v>951</v>
      </c>
      <c r="AM5" s="72" t="s">
        <v>613</v>
      </c>
      <c r="AN5" s="3">
        <v>19</v>
      </c>
      <c r="AO5" s="3">
        <v>36</v>
      </c>
      <c r="AP5" s="3">
        <v>19</v>
      </c>
      <c r="AQ5" s="3" t="s">
        <v>686</v>
      </c>
      <c r="AR5" s="3">
        <v>15</v>
      </c>
      <c r="AS5" s="99" t="s">
        <v>611</v>
      </c>
    </row>
    <row r="6" spans="1:45" ht="72.5" x14ac:dyDescent="0.35">
      <c r="A6" s="67" t="s">
        <v>8</v>
      </c>
      <c r="B6" s="3" t="s">
        <v>152</v>
      </c>
      <c r="C6" s="95" t="s">
        <v>987</v>
      </c>
      <c r="D6" s="86" t="s">
        <v>182</v>
      </c>
      <c r="E6" s="3" t="s">
        <v>189</v>
      </c>
      <c r="F6" s="3" t="s">
        <v>212</v>
      </c>
      <c r="G6" s="87" t="s">
        <v>263</v>
      </c>
      <c r="H6" s="3" t="s">
        <v>270</v>
      </c>
      <c r="I6" s="3" t="s">
        <v>275</v>
      </c>
      <c r="J6" s="8" t="s">
        <v>275</v>
      </c>
      <c r="K6" s="3" t="s">
        <v>275</v>
      </c>
      <c r="L6" s="3" t="s">
        <v>281</v>
      </c>
      <c r="M6" s="3">
        <v>2023</v>
      </c>
      <c r="N6" s="3" t="s">
        <v>294</v>
      </c>
      <c r="O6" s="98">
        <v>2</v>
      </c>
      <c r="P6" s="3" t="s">
        <v>380</v>
      </c>
      <c r="Q6" s="3" t="s">
        <v>381</v>
      </c>
      <c r="R6" s="3">
        <v>14</v>
      </c>
      <c r="S6" s="3" t="s">
        <v>338</v>
      </c>
      <c r="T6" s="8" t="s">
        <v>324</v>
      </c>
      <c r="U6" s="8" t="s">
        <v>331</v>
      </c>
      <c r="V6" s="3" t="s">
        <v>332</v>
      </c>
      <c r="W6" s="3" t="s">
        <v>333</v>
      </c>
      <c r="X6" s="3" t="s">
        <v>387</v>
      </c>
      <c r="Y6" s="8" t="s">
        <v>411</v>
      </c>
      <c r="Z6" s="8" t="s">
        <v>275</v>
      </c>
      <c r="AA6" s="8" t="s">
        <v>389</v>
      </c>
      <c r="AB6" s="69" t="s">
        <v>727</v>
      </c>
      <c r="AC6" s="3" t="s">
        <v>729</v>
      </c>
      <c r="AD6" s="3" t="s">
        <v>419</v>
      </c>
      <c r="AE6" s="3" t="s">
        <v>479</v>
      </c>
      <c r="AF6" s="3">
        <v>175</v>
      </c>
      <c r="AG6" s="70" t="s">
        <v>482</v>
      </c>
      <c r="AH6" s="8" t="s">
        <v>594</v>
      </c>
      <c r="AI6" s="3" t="s">
        <v>494</v>
      </c>
      <c r="AJ6" s="8" t="s">
        <v>595</v>
      </c>
      <c r="AK6" s="8" t="s">
        <v>596</v>
      </c>
      <c r="AL6" s="71" t="s">
        <v>952</v>
      </c>
      <c r="AM6" s="72" t="s">
        <v>613</v>
      </c>
      <c r="AN6" s="3">
        <v>14</v>
      </c>
      <c r="AO6" s="3" t="s">
        <v>682</v>
      </c>
      <c r="AP6" s="3" t="s">
        <v>683</v>
      </c>
      <c r="AQ6" s="3" t="s">
        <v>684</v>
      </c>
      <c r="AR6" s="3" t="s">
        <v>685</v>
      </c>
      <c r="AS6" s="99" t="s">
        <v>611</v>
      </c>
    </row>
    <row r="7" spans="1:45" ht="62" x14ac:dyDescent="0.35">
      <c r="A7" s="67" t="s">
        <v>9</v>
      </c>
      <c r="B7" s="3" t="s">
        <v>108</v>
      </c>
      <c r="C7" s="95" t="s">
        <v>988</v>
      </c>
      <c r="D7" s="86" t="s">
        <v>158</v>
      </c>
      <c r="E7" s="3" t="s">
        <v>186</v>
      </c>
      <c r="F7" s="3" t="s">
        <v>191</v>
      </c>
      <c r="G7" s="87" t="s">
        <v>215</v>
      </c>
      <c r="H7" s="3" t="s">
        <v>269</v>
      </c>
      <c r="I7" s="3">
        <v>90</v>
      </c>
      <c r="J7" s="8" t="s">
        <v>286</v>
      </c>
      <c r="K7" s="3" t="s">
        <v>275</v>
      </c>
      <c r="L7" s="3" t="s">
        <v>287</v>
      </c>
      <c r="M7" s="3" t="s">
        <v>285</v>
      </c>
      <c r="N7" s="3" t="s">
        <v>283</v>
      </c>
      <c r="O7" s="98">
        <v>1</v>
      </c>
      <c r="P7" s="3" t="s">
        <v>329</v>
      </c>
      <c r="Q7" s="3" t="s">
        <v>330</v>
      </c>
      <c r="R7" s="3">
        <v>11</v>
      </c>
      <c r="S7" s="3" t="s">
        <v>275</v>
      </c>
      <c r="T7" s="8" t="s">
        <v>324</v>
      </c>
      <c r="U7" s="8" t="s">
        <v>331</v>
      </c>
      <c r="V7" s="3" t="s">
        <v>332</v>
      </c>
      <c r="W7" s="3" t="s">
        <v>333</v>
      </c>
      <c r="X7" s="3" t="s">
        <v>390</v>
      </c>
      <c r="Y7" s="8" t="s">
        <v>391</v>
      </c>
      <c r="Z7" s="8" t="s">
        <v>275</v>
      </c>
      <c r="AA7" s="8" t="s">
        <v>392</v>
      </c>
      <c r="AB7" s="69" t="s">
        <v>708</v>
      </c>
      <c r="AC7" s="3" t="s">
        <v>729</v>
      </c>
      <c r="AD7" s="3" t="s">
        <v>419</v>
      </c>
      <c r="AE7" s="3" t="s">
        <v>420</v>
      </c>
      <c r="AF7" s="3" t="s">
        <v>421</v>
      </c>
      <c r="AG7" s="70" t="s">
        <v>482</v>
      </c>
      <c r="AH7" s="8" t="s">
        <v>497</v>
      </c>
      <c r="AI7" s="3" t="s">
        <v>498</v>
      </c>
      <c r="AJ7" s="8" t="s">
        <v>499</v>
      </c>
      <c r="AK7" s="8" t="s">
        <v>500</v>
      </c>
      <c r="AL7" s="71" t="s">
        <v>950</v>
      </c>
      <c r="AM7" s="72" t="s">
        <v>612</v>
      </c>
      <c r="AN7" s="3" t="s">
        <v>275</v>
      </c>
      <c r="AO7" s="3">
        <v>34</v>
      </c>
      <c r="AP7" s="3">
        <v>44</v>
      </c>
      <c r="AQ7" s="3">
        <v>0.77</v>
      </c>
      <c r="AR7" s="3">
        <v>25</v>
      </c>
      <c r="AS7" s="99" t="s">
        <v>611</v>
      </c>
    </row>
    <row r="8" spans="1:45" ht="56.5" customHeight="1" x14ac:dyDescent="0.35">
      <c r="A8" s="67" t="s">
        <v>10</v>
      </c>
      <c r="B8" s="3" t="s">
        <v>929</v>
      </c>
      <c r="C8" s="95" t="s">
        <v>989</v>
      </c>
      <c r="D8" s="86" t="s">
        <v>160</v>
      </c>
      <c r="E8" s="3" t="s">
        <v>186</v>
      </c>
      <c r="F8" s="3" t="s">
        <v>934</v>
      </c>
      <c r="G8" s="87" t="s">
        <v>935</v>
      </c>
      <c r="H8" s="3" t="s">
        <v>936</v>
      </c>
      <c r="I8" s="3" t="s">
        <v>275</v>
      </c>
      <c r="J8" s="8" t="s">
        <v>275</v>
      </c>
      <c r="K8" s="3" t="s">
        <v>275</v>
      </c>
      <c r="L8" s="3" t="s">
        <v>281</v>
      </c>
      <c r="M8" s="3" t="s">
        <v>937</v>
      </c>
      <c r="N8" s="3" t="s">
        <v>283</v>
      </c>
      <c r="O8" s="98">
        <v>6</v>
      </c>
      <c r="P8" s="3">
        <v>0.1</v>
      </c>
      <c r="Q8" s="3">
        <v>0.6</v>
      </c>
      <c r="R8" s="3">
        <v>39</v>
      </c>
      <c r="S8" s="3" t="s">
        <v>369</v>
      </c>
      <c r="T8" s="8" t="s">
        <v>367</v>
      </c>
      <c r="U8" s="8" t="s">
        <v>331</v>
      </c>
      <c r="V8" s="3" t="s">
        <v>819</v>
      </c>
      <c r="W8" s="3" t="s">
        <v>333</v>
      </c>
      <c r="X8" s="3" t="s">
        <v>390</v>
      </c>
      <c r="Y8" s="8" t="s">
        <v>938</v>
      </c>
      <c r="Z8" s="8" t="s">
        <v>275</v>
      </c>
      <c r="AA8" s="8">
        <v>0.7</v>
      </c>
      <c r="AB8" s="69" t="s">
        <v>939</v>
      </c>
      <c r="AC8" s="3" t="s">
        <v>940</v>
      </c>
      <c r="AD8" s="3" t="s">
        <v>419</v>
      </c>
      <c r="AE8" s="3" t="s">
        <v>941</v>
      </c>
      <c r="AF8" s="3" t="s">
        <v>944</v>
      </c>
      <c r="AG8" s="70" t="s">
        <v>482</v>
      </c>
      <c r="AH8" s="8" t="s">
        <v>497</v>
      </c>
      <c r="AI8" s="3" t="s">
        <v>275</v>
      </c>
      <c r="AJ8" s="8" t="s">
        <v>942</v>
      </c>
      <c r="AK8" s="8" t="s">
        <v>943</v>
      </c>
      <c r="AL8" s="71" t="s">
        <v>953</v>
      </c>
      <c r="AM8" s="72" t="s">
        <v>275</v>
      </c>
      <c r="AN8" s="3" t="s">
        <v>275</v>
      </c>
      <c r="AO8" s="3">
        <v>108</v>
      </c>
      <c r="AP8" s="3" t="s">
        <v>275</v>
      </c>
      <c r="AQ8" s="3" t="s">
        <v>275</v>
      </c>
      <c r="AR8" s="3" t="s">
        <v>275</v>
      </c>
      <c r="AS8" s="99" t="s">
        <v>275</v>
      </c>
    </row>
    <row r="9" spans="1:45" ht="58" x14ac:dyDescent="0.35">
      <c r="A9" s="67" t="s">
        <v>11</v>
      </c>
      <c r="B9" s="3" t="s">
        <v>900</v>
      </c>
      <c r="C9" s="95" t="s">
        <v>990</v>
      </c>
      <c r="D9" s="86" t="s">
        <v>161</v>
      </c>
      <c r="E9" s="3" t="s">
        <v>185</v>
      </c>
      <c r="F9" s="3" t="s">
        <v>193</v>
      </c>
      <c r="G9" s="87" t="s">
        <v>218</v>
      </c>
      <c r="H9" s="3" t="s">
        <v>271</v>
      </c>
      <c r="I9" s="3" t="s">
        <v>275</v>
      </c>
      <c r="J9" s="8" t="s">
        <v>275</v>
      </c>
      <c r="K9" s="3" t="s">
        <v>275</v>
      </c>
      <c r="L9" s="3" t="s">
        <v>290</v>
      </c>
      <c r="M9" s="3" t="s">
        <v>282</v>
      </c>
      <c r="N9" s="3" t="s">
        <v>283</v>
      </c>
      <c r="O9" s="98">
        <v>3</v>
      </c>
      <c r="P9" s="3">
        <v>1.5</v>
      </c>
      <c r="Q9" s="3">
        <v>4.5</v>
      </c>
      <c r="R9" s="3">
        <v>8</v>
      </c>
      <c r="S9" s="3" t="s">
        <v>341</v>
      </c>
      <c r="T9" s="8" t="s">
        <v>324</v>
      </c>
      <c r="U9" s="8" t="s">
        <v>325</v>
      </c>
      <c r="V9" s="3" t="s">
        <v>326</v>
      </c>
      <c r="W9" s="3" t="s">
        <v>342</v>
      </c>
      <c r="X9" s="3" t="s">
        <v>387</v>
      </c>
      <c r="Y9" s="8" t="s">
        <v>395</v>
      </c>
      <c r="Z9" s="8" t="s">
        <v>693</v>
      </c>
      <c r="AA9" s="8" t="s">
        <v>396</v>
      </c>
      <c r="AB9" s="69" t="s">
        <v>709</v>
      </c>
      <c r="AC9" s="3" t="s">
        <v>732</v>
      </c>
      <c r="AD9" s="3" t="s">
        <v>417</v>
      </c>
      <c r="AE9" s="3" t="s">
        <v>423</v>
      </c>
      <c r="AF9" s="3">
        <v>110</v>
      </c>
      <c r="AG9" s="70" t="s">
        <v>484</v>
      </c>
      <c r="AH9" s="8" t="s">
        <v>509</v>
      </c>
      <c r="AI9" s="3" t="s">
        <v>275</v>
      </c>
      <c r="AJ9" s="8" t="s">
        <v>275</v>
      </c>
      <c r="AK9" s="8" t="s">
        <v>275</v>
      </c>
      <c r="AL9" s="71" t="s">
        <v>954</v>
      </c>
      <c r="AM9" s="72" t="s">
        <v>275</v>
      </c>
      <c r="AN9" s="3" t="s">
        <v>275</v>
      </c>
      <c r="AO9" s="3" t="s">
        <v>275</v>
      </c>
      <c r="AP9" s="3" t="s">
        <v>275</v>
      </c>
      <c r="AQ9" s="3" t="s">
        <v>275</v>
      </c>
      <c r="AR9" s="3" t="s">
        <v>275</v>
      </c>
      <c r="AS9" s="99" t="s">
        <v>275</v>
      </c>
    </row>
    <row r="10" spans="1:45" ht="58" x14ac:dyDescent="0.35">
      <c r="A10" s="67" t="s">
        <v>12</v>
      </c>
      <c r="B10" s="3" t="s">
        <v>109</v>
      </c>
      <c r="C10" s="95" t="s">
        <v>991</v>
      </c>
      <c r="D10" s="86" t="s">
        <v>182</v>
      </c>
      <c r="E10" s="3" t="s">
        <v>187</v>
      </c>
      <c r="F10" s="3" t="s">
        <v>187</v>
      </c>
      <c r="G10" s="87" t="s">
        <v>216</v>
      </c>
      <c r="H10" s="3" t="s">
        <v>269</v>
      </c>
      <c r="I10" s="3" t="s">
        <v>275</v>
      </c>
      <c r="J10" s="8" t="s">
        <v>275</v>
      </c>
      <c r="K10" s="3" t="s">
        <v>275</v>
      </c>
      <c r="L10" s="3" t="s">
        <v>281</v>
      </c>
      <c r="M10" s="3">
        <v>2016</v>
      </c>
      <c r="N10" s="3" t="s">
        <v>283</v>
      </c>
      <c r="O10" s="98">
        <v>12</v>
      </c>
      <c r="P10" s="3">
        <v>2</v>
      </c>
      <c r="Q10" s="3">
        <v>24</v>
      </c>
      <c r="R10" s="3">
        <v>5</v>
      </c>
      <c r="S10" s="3" t="s">
        <v>334</v>
      </c>
      <c r="T10" s="8" t="s">
        <v>324</v>
      </c>
      <c r="U10" s="8" t="s">
        <v>331</v>
      </c>
      <c r="V10" s="3" t="s">
        <v>326</v>
      </c>
      <c r="W10" s="3" t="s">
        <v>335</v>
      </c>
      <c r="X10" s="3" t="s">
        <v>387</v>
      </c>
      <c r="Y10" s="8" t="s">
        <v>393</v>
      </c>
      <c r="Z10" s="8" t="s">
        <v>692</v>
      </c>
      <c r="AA10" s="8" t="s">
        <v>394</v>
      </c>
      <c r="AB10" s="69" t="s">
        <v>709</v>
      </c>
      <c r="AC10" s="3" t="s">
        <v>732</v>
      </c>
      <c r="AD10" s="3" t="s">
        <v>419</v>
      </c>
      <c r="AE10" s="3" t="s">
        <v>416</v>
      </c>
      <c r="AF10" s="3">
        <v>170</v>
      </c>
      <c r="AG10" s="70" t="s">
        <v>482</v>
      </c>
      <c r="AH10" s="8" t="s">
        <v>501</v>
      </c>
      <c r="AI10" s="3" t="s">
        <v>502</v>
      </c>
      <c r="AJ10" s="8" t="s">
        <v>503</v>
      </c>
      <c r="AK10" s="8" t="s">
        <v>504</v>
      </c>
      <c r="AL10" s="71" t="s">
        <v>955</v>
      </c>
      <c r="AM10" s="72" t="s">
        <v>613</v>
      </c>
      <c r="AN10" s="3">
        <v>3</v>
      </c>
      <c r="AO10" s="3" t="s">
        <v>614</v>
      </c>
      <c r="AP10" s="3" t="s">
        <v>615</v>
      </c>
      <c r="AQ10" s="3" t="s">
        <v>616</v>
      </c>
      <c r="AR10" s="3" t="s">
        <v>275</v>
      </c>
      <c r="AS10" s="99" t="s">
        <v>611</v>
      </c>
    </row>
    <row r="11" spans="1:45" ht="62" x14ac:dyDescent="0.35">
      <c r="A11" s="67" t="s">
        <v>13</v>
      </c>
      <c r="B11" s="3" t="s">
        <v>110</v>
      </c>
      <c r="C11" s="95" t="s">
        <v>992</v>
      </c>
      <c r="D11" s="86" t="s">
        <v>160</v>
      </c>
      <c r="E11" s="3" t="s">
        <v>188</v>
      </c>
      <c r="F11" s="3" t="s">
        <v>192</v>
      </c>
      <c r="G11" s="87" t="s">
        <v>217</v>
      </c>
      <c r="H11" s="3" t="s">
        <v>270</v>
      </c>
      <c r="I11" s="3" t="s">
        <v>276</v>
      </c>
      <c r="J11" s="8" t="s">
        <v>275</v>
      </c>
      <c r="K11" s="3">
        <v>0.5</v>
      </c>
      <c r="L11" s="3" t="s">
        <v>288</v>
      </c>
      <c r="M11" s="3">
        <v>2016</v>
      </c>
      <c r="N11" s="3" t="s">
        <v>914</v>
      </c>
      <c r="O11" s="98">
        <v>10</v>
      </c>
      <c r="P11" s="3" t="s">
        <v>336</v>
      </c>
      <c r="Q11" s="3" t="s">
        <v>337</v>
      </c>
      <c r="R11" s="3">
        <v>6</v>
      </c>
      <c r="S11" s="3" t="s">
        <v>338</v>
      </c>
      <c r="T11" s="8" t="s">
        <v>339</v>
      </c>
      <c r="U11" s="8" t="s">
        <v>331</v>
      </c>
      <c r="V11" s="3" t="s">
        <v>340</v>
      </c>
      <c r="W11" s="3" t="s">
        <v>333</v>
      </c>
      <c r="X11" s="3" t="s">
        <v>390</v>
      </c>
      <c r="Y11" s="8" t="s">
        <v>391</v>
      </c>
      <c r="Z11" s="8" t="s">
        <v>275</v>
      </c>
      <c r="AA11" s="8" t="s">
        <v>389</v>
      </c>
      <c r="AB11" s="69" t="s">
        <v>710</v>
      </c>
      <c r="AC11" s="3" t="s">
        <v>733</v>
      </c>
      <c r="AD11" s="3" t="s">
        <v>419</v>
      </c>
      <c r="AE11" s="3" t="s">
        <v>422</v>
      </c>
      <c r="AG11" s="70" t="s">
        <v>482</v>
      </c>
      <c r="AH11" s="8" t="s">
        <v>505</v>
      </c>
      <c r="AI11" s="3" t="s">
        <v>506</v>
      </c>
      <c r="AJ11" s="8" t="s">
        <v>507</v>
      </c>
      <c r="AK11" s="8" t="s">
        <v>508</v>
      </c>
      <c r="AL11" s="71" t="s">
        <v>956</v>
      </c>
      <c r="AM11" s="72" t="s">
        <v>617</v>
      </c>
      <c r="AN11" s="3">
        <v>6</v>
      </c>
      <c r="AO11" s="3" t="s">
        <v>618</v>
      </c>
      <c r="AP11" s="3" t="s">
        <v>275</v>
      </c>
      <c r="AQ11" s="3" t="s">
        <v>619</v>
      </c>
      <c r="AR11" s="3" t="s">
        <v>275</v>
      </c>
      <c r="AS11" s="99" t="s">
        <v>611</v>
      </c>
    </row>
    <row r="12" spans="1:45" ht="62" x14ac:dyDescent="0.35">
      <c r="A12" s="67" t="s">
        <v>14</v>
      </c>
      <c r="B12" s="3" t="s">
        <v>111</v>
      </c>
      <c r="C12" s="95" t="s">
        <v>993</v>
      </c>
      <c r="D12" s="86" t="s">
        <v>162</v>
      </c>
      <c r="E12" s="3" t="s">
        <v>185</v>
      </c>
      <c r="F12" s="3" t="s">
        <v>194</v>
      </c>
      <c r="G12" s="87" t="s">
        <v>219</v>
      </c>
      <c r="H12" s="3" t="s">
        <v>272</v>
      </c>
      <c r="I12" s="3">
        <v>751</v>
      </c>
      <c r="J12" s="8" t="s">
        <v>275</v>
      </c>
      <c r="K12" s="3" t="s">
        <v>275</v>
      </c>
      <c r="L12" s="3" t="s">
        <v>291</v>
      </c>
      <c r="M12" s="3">
        <v>2016</v>
      </c>
      <c r="N12" s="3" t="s">
        <v>283</v>
      </c>
      <c r="O12" s="98">
        <v>3</v>
      </c>
      <c r="P12" s="3">
        <v>0.25</v>
      </c>
      <c r="Q12" s="3">
        <v>0.75</v>
      </c>
      <c r="R12" s="3">
        <v>61</v>
      </c>
      <c r="S12" s="3" t="s">
        <v>338</v>
      </c>
      <c r="T12" s="8" t="s">
        <v>324</v>
      </c>
      <c r="U12" s="8" t="s">
        <v>331</v>
      </c>
      <c r="V12" s="3" t="s">
        <v>340</v>
      </c>
      <c r="W12" s="3" t="s">
        <v>333</v>
      </c>
      <c r="X12" s="3" t="s">
        <v>387</v>
      </c>
      <c r="Y12" s="8" t="s">
        <v>393</v>
      </c>
      <c r="Z12" s="8" t="s">
        <v>275</v>
      </c>
      <c r="AA12" s="8" t="s">
        <v>397</v>
      </c>
      <c r="AB12" s="69" t="s">
        <v>709</v>
      </c>
      <c r="AC12" s="3" t="s">
        <v>729</v>
      </c>
      <c r="AD12" s="3" t="s">
        <v>417</v>
      </c>
      <c r="AE12" s="3" t="s">
        <v>424</v>
      </c>
      <c r="AF12" s="3" t="s">
        <v>275</v>
      </c>
      <c r="AG12" s="70" t="s">
        <v>482</v>
      </c>
      <c r="AH12" s="8" t="s">
        <v>497</v>
      </c>
      <c r="AI12" s="3" t="s">
        <v>498</v>
      </c>
      <c r="AJ12" s="8" t="s">
        <v>510</v>
      </c>
      <c r="AK12" s="8" t="s">
        <v>511</v>
      </c>
      <c r="AL12" s="71" t="s">
        <v>957</v>
      </c>
      <c r="AM12" s="72" t="s">
        <v>275</v>
      </c>
      <c r="AN12" s="3">
        <v>60</v>
      </c>
      <c r="AO12" s="3">
        <v>50</v>
      </c>
      <c r="AP12" s="3">
        <v>47</v>
      </c>
      <c r="AQ12" s="3" t="s">
        <v>621</v>
      </c>
      <c r="AR12" s="3">
        <v>36</v>
      </c>
      <c r="AS12" s="99" t="s">
        <v>611</v>
      </c>
    </row>
    <row r="13" spans="1:45" ht="58" x14ac:dyDescent="0.35">
      <c r="A13" s="67" t="s">
        <v>15</v>
      </c>
      <c r="B13" s="3" t="s">
        <v>112</v>
      </c>
      <c r="C13" s="95" t="s">
        <v>994</v>
      </c>
      <c r="D13" s="86" t="s">
        <v>163</v>
      </c>
      <c r="E13" s="3" t="s">
        <v>185</v>
      </c>
      <c r="F13" s="3" t="s">
        <v>195</v>
      </c>
      <c r="G13" s="87" t="s">
        <v>220</v>
      </c>
      <c r="H13" s="3" t="s">
        <v>270</v>
      </c>
      <c r="I13" s="3" t="s">
        <v>275</v>
      </c>
      <c r="J13" s="8" t="s">
        <v>275</v>
      </c>
      <c r="K13" s="3">
        <v>7</v>
      </c>
      <c r="L13" s="3" t="s">
        <v>291</v>
      </c>
      <c r="M13" s="3" t="s">
        <v>292</v>
      </c>
      <c r="N13" s="3" t="s">
        <v>283</v>
      </c>
      <c r="O13" s="98">
        <v>4</v>
      </c>
      <c r="P13" s="3" t="s">
        <v>343</v>
      </c>
      <c r="Q13" s="3" t="s">
        <v>344</v>
      </c>
      <c r="R13" s="3">
        <v>40</v>
      </c>
      <c r="S13" s="3" t="s">
        <v>275</v>
      </c>
      <c r="T13" s="8" t="s">
        <v>345</v>
      </c>
      <c r="U13" s="8" t="s">
        <v>325</v>
      </c>
      <c r="V13" s="3" t="s">
        <v>326</v>
      </c>
      <c r="W13" s="3" t="s">
        <v>335</v>
      </c>
      <c r="X13" s="3" t="s">
        <v>387</v>
      </c>
      <c r="Y13" s="8" t="s">
        <v>388</v>
      </c>
      <c r="Z13" s="8" t="s">
        <v>692</v>
      </c>
      <c r="AA13" s="8" t="s">
        <v>389</v>
      </c>
      <c r="AB13" s="69" t="s">
        <v>709</v>
      </c>
      <c r="AC13" s="3" t="s">
        <v>731</v>
      </c>
      <c r="AD13" s="3" t="s">
        <v>417</v>
      </c>
      <c r="AE13" s="3" t="s">
        <v>425</v>
      </c>
      <c r="AF13" s="3" t="s">
        <v>426</v>
      </c>
      <c r="AG13" s="70" t="s">
        <v>485</v>
      </c>
      <c r="AH13" s="8" t="s">
        <v>509</v>
      </c>
      <c r="AI13" s="3" t="s">
        <v>275</v>
      </c>
      <c r="AJ13" s="8" t="s">
        <v>275</v>
      </c>
      <c r="AK13" s="8" t="s">
        <v>275</v>
      </c>
      <c r="AL13" s="71" t="s">
        <v>958</v>
      </c>
      <c r="AM13" s="72" t="s">
        <v>275</v>
      </c>
      <c r="AN13" s="3" t="s">
        <v>275</v>
      </c>
      <c r="AO13" s="3" t="s">
        <v>275</v>
      </c>
      <c r="AP13" s="3" t="s">
        <v>275</v>
      </c>
      <c r="AQ13" s="3" t="s">
        <v>275</v>
      </c>
      <c r="AR13" s="3" t="s">
        <v>275</v>
      </c>
      <c r="AS13" s="99" t="s">
        <v>275</v>
      </c>
    </row>
    <row r="14" spans="1:45" ht="58" x14ac:dyDescent="0.35">
      <c r="A14" s="67" t="s">
        <v>16</v>
      </c>
      <c r="B14" s="3" t="s">
        <v>113</v>
      </c>
      <c r="C14" s="95" t="s">
        <v>995</v>
      </c>
      <c r="D14" s="86" t="s">
        <v>164</v>
      </c>
      <c r="E14" s="3" t="s">
        <v>188</v>
      </c>
      <c r="F14" s="3" t="s">
        <v>192</v>
      </c>
      <c r="G14" s="87" t="s">
        <v>221</v>
      </c>
      <c r="H14" s="3" t="s">
        <v>270</v>
      </c>
      <c r="J14" s="8" t="s">
        <v>275</v>
      </c>
      <c r="K14" s="3" t="s">
        <v>275</v>
      </c>
      <c r="L14" s="3" t="s">
        <v>287</v>
      </c>
      <c r="M14" s="3" t="s">
        <v>304</v>
      </c>
      <c r="N14" s="3" t="s">
        <v>294</v>
      </c>
      <c r="O14" s="98">
        <v>1</v>
      </c>
      <c r="P14" s="3">
        <v>50</v>
      </c>
      <c r="Q14" s="3">
        <v>50</v>
      </c>
      <c r="R14" s="3">
        <v>39</v>
      </c>
      <c r="S14" s="3" t="s">
        <v>338</v>
      </c>
      <c r="T14" s="8" t="s">
        <v>339</v>
      </c>
      <c r="U14" s="8" t="s">
        <v>331</v>
      </c>
      <c r="V14" s="3" t="s">
        <v>340</v>
      </c>
      <c r="W14" s="3">
        <v>0</v>
      </c>
      <c r="X14" s="3" t="s">
        <v>390</v>
      </c>
      <c r="Y14" s="8" t="s">
        <v>391</v>
      </c>
      <c r="Z14" s="8" t="s">
        <v>275</v>
      </c>
      <c r="AA14" s="8" t="s">
        <v>398</v>
      </c>
      <c r="AB14" s="69" t="s">
        <v>711</v>
      </c>
      <c r="AC14" s="3" t="s">
        <v>729</v>
      </c>
      <c r="AD14" s="3" t="s">
        <v>419</v>
      </c>
      <c r="AE14" s="3" t="s">
        <v>428</v>
      </c>
      <c r="AF14" s="3" t="s">
        <v>275</v>
      </c>
      <c r="AG14" s="70" t="s">
        <v>482</v>
      </c>
      <c r="AH14" s="8" t="s">
        <v>512</v>
      </c>
      <c r="AI14" s="3" t="s">
        <v>506</v>
      </c>
      <c r="AJ14" s="8" t="s">
        <v>507</v>
      </c>
      <c r="AK14" s="8" t="s">
        <v>513</v>
      </c>
      <c r="AL14" s="71" t="s">
        <v>959</v>
      </c>
      <c r="AM14" s="72" t="s">
        <v>622</v>
      </c>
      <c r="AN14" s="3">
        <v>39</v>
      </c>
      <c r="AO14" s="3">
        <v>132</v>
      </c>
      <c r="AP14" s="3">
        <v>203</v>
      </c>
      <c r="AQ14" s="3">
        <v>0.65</v>
      </c>
      <c r="AR14" s="3">
        <v>119</v>
      </c>
      <c r="AS14" s="99" t="s">
        <v>623</v>
      </c>
    </row>
    <row r="15" spans="1:45" ht="62" x14ac:dyDescent="0.35">
      <c r="A15" s="67" t="s">
        <v>17</v>
      </c>
      <c r="B15" s="3" t="s">
        <v>114</v>
      </c>
      <c r="C15" s="95" t="s">
        <v>901</v>
      </c>
      <c r="D15" s="86" t="s">
        <v>165</v>
      </c>
      <c r="E15" s="3" t="s">
        <v>185</v>
      </c>
      <c r="F15" s="3" t="s">
        <v>196</v>
      </c>
      <c r="G15" s="87" t="s">
        <v>903</v>
      </c>
      <c r="H15" s="3" t="s">
        <v>273</v>
      </c>
      <c r="I15" s="3">
        <v>6.9</v>
      </c>
      <c r="J15" s="8" t="s">
        <v>295</v>
      </c>
      <c r="K15" s="3" t="s">
        <v>296</v>
      </c>
      <c r="L15" s="3" t="s">
        <v>290</v>
      </c>
      <c r="M15" s="3">
        <v>2014</v>
      </c>
      <c r="N15" s="3" t="s">
        <v>283</v>
      </c>
      <c r="O15" s="98" t="s">
        <v>346</v>
      </c>
      <c r="P15" s="3">
        <v>45</v>
      </c>
      <c r="Q15" s="3" t="s">
        <v>347</v>
      </c>
      <c r="R15" s="3">
        <v>6</v>
      </c>
      <c r="S15" s="3" t="s">
        <v>334</v>
      </c>
      <c r="T15" s="8" t="s">
        <v>339</v>
      </c>
      <c r="U15" s="8" t="s">
        <v>331</v>
      </c>
      <c r="V15" s="3" t="s">
        <v>340</v>
      </c>
      <c r="W15" s="3" t="s">
        <v>333</v>
      </c>
      <c r="X15" s="3" t="s">
        <v>390</v>
      </c>
      <c r="Y15" s="8" t="s">
        <v>391</v>
      </c>
      <c r="Z15" s="8" t="s">
        <v>275</v>
      </c>
      <c r="AA15" s="8" t="s">
        <v>398</v>
      </c>
      <c r="AB15" s="69" t="s">
        <v>711</v>
      </c>
      <c r="AC15" s="3" t="s">
        <v>729</v>
      </c>
      <c r="AD15" s="3" t="s">
        <v>429</v>
      </c>
      <c r="AE15" s="3" t="s">
        <v>422</v>
      </c>
      <c r="AG15" s="70" t="s">
        <v>482</v>
      </c>
      <c r="AH15" s="8" t="s">
        <v>514</v>
      </c>
      <c r="AI15" s="3" t="s">
        <v>506</v>
      </c>
      <c r="AJ15" s="8" t="s">
        <v>507</v>
      </c>
      <c r="AK15" s="8" t="s">
        <v>515</v>
      </c>
      <c r="AL15" s="71" t="s">
        <v>960</v>
      </c>
      <c r="AM15" s="72" t="s">
        <v>624</v>
      </c>
      <c r="AN15" s="3">
        <v>3</v>
      </c>
      <c r="AO15" s="3" t="s">
        <v>625</v>
      </c>
      <c r="AP15" s="3" t="s">
        <v>626</v>
      </c>
      <c r="AQ15" s="3" t="s">
        <v>627</v>
      </c>
      <c r="AR15" s="3" t="s">
        <v>628</v>
      </c>
      <c r="AS15" s="99" t="s">
        <v>611</v>
      </c>
    </row>
    <row r="16" spans="1:45" ht="58" x14ac:dyDescent="0.35">
      <c r="A16" s="67" t="s">
        <v>18</v>
      </c>
      <c r="B16" s="3" t="s">
        <v>115</v>
      </c>
      <c r="C16" s="95" t="s">
        <v>946</v>
      </c>
      <c r="D16" s="86" t="s">
        <v>157</v>
      </c>
      <c r="E16" s="3" t="s">
        <v>185</v>
      </c>
      <c r="F16" s="3" t="s">
        <v>193</v>
      </c>
      <c r="G16" s="87" t="s">
        <v>222</v>
      </c>
      <c r="H16" s="3" t="s">
        <v>269</v>
      </c>
      <c r="I16" s="3">
        <v>930</v>
      </c>
      <c r="J16" s="8">
        <v>400</v>
      </c>
      <c r="K16" s="3" t="s">
        <v>275</v>
      </c>
      <c r="L16" s="3" t="s">
        <v>297</v>
      </c>
      <c r="M16" s="3">
        <v>2015</v>
      </c>
      <c r="N16" s="3" t="s">
        <v>294</v>
      </c>
      <c r="O16" s="98">
        <v>2</v>
      </c>
      <c r="P16" s="3">
        <v>1</v>
      </c>
      <c r="Q16" s="3">
        <v>1</v>
      </c>
      <c r="R16" s="3">
        <v>5</v>
      </c>
      <c r="S16" s="3" t="s">
        <v>338</v>
      </c>
      <c r="T16" s="8" t="s">
        <v>324</v>
      </c>
      <c r="U16" s="8" t="s">
        <v>331</v>
      </c>
      <c r="V16" s="3" t="s">
        <v>326</v>
      </c>
      <c r="X16" s="3" t="s">
        <v>387</v>
      </c>
      <c r="Y16" s="8" t="s">
        <v>391</v>
      </c>
      <c r="Z16" s="8" t="s">
        <v>692</v>
      </c>
      <c r="AA16" s="8" t="s">
        <v>399</v>
      </c>
      <c r="AB16" s="69" t="s">
        <v>709</v>
      </c>
      <c r="AC16" s="3" t="s">
        <v>732</v>
      </c>
      <c r="AD16" s="3" t="s">
        <v>430</v>
      </c>
      <c r="AE16" s="3" t="s">
        <v>431</v>
      </c>
      <c r="AF16" s="3" t="s">
        <v>432</v>
      </c>
      <c r="AG16" s="70" t="s">
        <v>486</v>
      </c>
      <c r="AH16" s="8" t="s">
        <v>275</v>
      </c>
      <c r="AI16" s="3" t="s">
        <v>275</v>
      </c>
      <c r="AJ16" s="8" t="s">
        <v>275</v>
      </c>
      <c r="AK16" s="8" t="s">
        <v>275</v>
      </c>
      <c r="AL16" s="71" t="s">
        <v>275</v>
      </c>
      <c r="AM16" s="72" t="s">
        <v>275</v>
      </c>
      <c r="AN16" s="3" t="s">
        <v>275</v>
      </c>
      <c r="AO16" s="3" t="s">
        <v>275</v>
      </c>
      <c r="AP16" s="3" t="s">
        <v>275</v>
      </c>
      <c r="AQ16" s="3" t="s">
        <v>275</v>
      </c>
      <c r="AR16" s="3" t="s">
        <v>275</v>
      </c>
      <c r="AS16" s="99" t="s">
        <v>275</v>
      </c>
    </row>
    <row r="17" spans="1:45" ht="62" x14ac:dyDescent="0.35">
      <c r="A17" s="67" t="s">
        <v>19</v>
      </c>
      <c r="B17" s="3" t="s">
        <v>116</v>
      </c>
      <c r="C17" s="95" t="s">
        <v>902</v>
      </c>
      <c r="D17" s="86" t="s">
        <v>166</v>
      </c>
      <c r="E17" s="3" t="s">
        <v>185</v>
      </c>
      <c r="F17" s="3" t="s">
        <v>196</v>
      </c>
      <c r="G17" s="87" t="s">
        <v>223</v>
      </c>
      <c r="H17" s="3" t="s">
        <v>269</v>
      </c>
      <c r="I17" s="3">
        <v>400</v>
      </c>
      <c r="J17" s="8" t="s">
        <v>275</v>
      </c>
      <c r="K17" s="3" t="s">
        <v>275</v>
      </c>
      <c r="L17" s="3" t="s">
        <v>290</v>
      </c>
      <c r="M17" s="3" t="s">
        <v>275</v>
      </c>
      <c r="N17" s="3" t="s">
        <v>283</v>
      </c>
      <c r="O17" s="98">
        <v>3</v>
      </c>
      <c r="P17" s="3">
        <v>1</v>
      </c>
      <c r="Q17" s="3">
        <v>3</v>
      </c>
      <c r="R17" s="3">
        <v>20</v>
      </c>
      <c r="S17" s="3" t="s">
        <v>275</v>
      </c>
      <c r="T17" s="8" t="s">
        <v>345</v>
      </c>
      <c r="U17" s="8" t="s">
        <v>331</v>
      </c>
      <c r="V17" s="3" t="s">
        <v>332</v>
      </c>
      <c r="W17" s="3" t="s">
        <v>342</v>
      </c>
      <c r="X17" s="3" t="s">
        <v>387</v>
      </c>
      <c r="Y17" s="8" t="s">
        <v>391</v>
      </c>
      <c r="Z17" s="8" t="s">
        <v>694</v>
      </c>
      <c r="AA17" s="8" t="s">
        <v>396</v>
      </c>
      <c r="AB17" s="69" t="s">
        <v>275</v>
      </c>
      <c r="AC17" s="3" t="s">
        <v>734</v>
      </c>
      <c r="AD17" s="3" t="s">
        <v>433</v>
      </c>
      <c r="AE17" s="3" t="s">
        <v>434</v>
      </c>
      <c r="AF17" s="3">
        <v>106</v>
      </c>
      <c r="AG17" s="70" t="s">
        <v>482</v>
      </c>
      <c r="AH17" s="8" t="s">
        <v>493</v>
      </c>
      <c r="AI17" s="3" t="s">
        <v>498</v>
      </c>
      <c r="AJ17" s="8" t="s">
        <v>516</v>
      </c>
      <c r="AK17" s="8" t="s">
        <v>517</v>
      </c>
      <c r="AL17" s="71" t="s">
        <v>275</v>
      </c>
      <c r="AM17" s="72" t="s">
        <v>275</v>
      </c>
      <c r="AN17" s="3" t="s">
        <v>275</v>
      </c>
      <c r="AO17" s="3" t="s">
        <v>275</v>
      </c>
      <c r="AP17" s="3" t="s">
        <v>275</v>
      </c>
      <c r="AQ17" s="3" t="s">
        <v>275</v>
      </c>
      <c r="AR17" s="3" t="s">
        <v>275</v>
      </c>
      <c r="AS17" s="99" t="s">
        <v>275</v>
      </c>
    </row>
    <row r="18" spans="1:45" ht="62" x14ac:dyDescent="0.35">
      <c r="A18" s="67" t="s">
        <v>20</v>
      </c>
      <c r="B18" s="3" t="s">
        <v>117</v>
      </c>
      <c r="C18" s="95" t="s">
        <v>996</v>
      </c>
      <c r="D18" s="86" t="s">
        <v>156</v>
      </c>
      <c r="E18" s="3" t="s">
        <v>188</v>
      </c>
      <c r="F18" s="3" t="s">
        <v>192</v>
      </c>
      <c r="G18" s="87" t="s">
        <v>224</v>
      </c>
      <c r="H18" s="3" t="s">
        <v>270</v>
      </c>
      <c r="I18" s="3" t="s">
        <v>275</v>
      </c>
      <c r="J18" s="8" t="s">
        <v>275</v>
      </c>
      <c r="K18" s="3" t="s">
        <v>275</v>
      </c>
      <c r="L18" s="3" t="s">
        <v>291</v>
      </c>
      <c r="M18" s="3" t="s">
        <v>298</v>
      </c>
      <c r="N18" s="3" t="s">
        <v>294</v>
      </c>
      <c r="O18" s="98">
        <v>1</v>
      </c>
      <c r="P18" s="3" t="s">
        <v>348</v>
      </c>
      <c r="Q18" s="3" t="s">
        <v>348</v>
      </c>
      <c r="R18" s="3">
        <v>15</v>
      </c>
      <c r="S18" s="3" t="s">
        <v>341</v>
      </c>
      <c r="T18" s="8" t="s">
        <v>339</v>
      </c>
      <c r="U18" s="8" t="s">
        <v>331</v>
      </c>
      <c r="V18" s="3" t="s">
        <v>340</v>
      </c>
      <c r="W18" s="3" t="s">
        <v>333</v>
      </c>
      <c r="X18" s="3" t="s">
        <v>390</v>
      </c>
      <c r="Y18" s="8" t="s">
        <v>391</v>
      </c>
      <c r="Z18" s="8" t="s">
        <v>275</v>
      </c>
      <c r="AA18" s="8" t="s">
        <v>400</v>
      </c>
      <c r="AB18" s="69" t="s">
        <v>708</v>
      </c>
      <c r="AC18" s="3" t="s">
        <v>735</v>
      </c>
      <c r="AD18" s="3" t="s">
        <v>419</v>
      </c>
      <c r="AE18" s="3" t="s">
        <v>422</v>
      </c>
      <c r="AG18" s="70" t="s">
        <v>482</v>
      </c>
      <c r="AH18" s="8" t="s">
        <v>518</v>
      </c>
      <c r="AI18" s="3" t="s">
        <v>506</v>
      </c>
      <c r="AJ18" s="8" t="s">
        <v>507</v>
      </c>
      <c r="AK18" s="8" t="s">
        <v>508</v>
      </c>
      <c r="AL18" s="71" t="s">
        <v>956</v>
      </c>
      <c r="AM18" s="72" t="s">
        <v>275</v>
      </c>
      <c r="AN18" s="3" t="s">
        <v>275</v>
      </c>
      <c r="AO18" s="3" t="s">
        <v>275</v>
      </c>
      <c r="AP18" s="3" t="s">
        <v>275</v>
      </c>
      <c r="AQ18" s="3" t="s">
        <v>275</v>
      </c>
      <c r="AR18" s="3" t="s">
        <v>275</v>
      </c>
      <c r="AS18" s="99" t="s">
        <v>275</v>
      </c>
    </row>
    <row r="19" spans="1:45" ht="58" x14ac:dyDescent="0.35">
      <c r="A19" s="67" t="s">
        <v>21</v>
      </c>
      <c r="B19" s="3" t="s">
        <v>118</v>
      </c>
      <c r="C19" s="95" t="s">
        <v>997</v>
      </c>
      <c r="D19" s="86" t="s">
        <v>167</v>
      </c>
      <c r="E19" s="3" t="s">
        <v>185</v>
      </c>
      <c r="F19" s="3" t="s">
        <v>193</v>
      </c>
      <c r="G19" s="87" t="s">
        <v>225</v>
      </c>
      <c r="H19" s="3" t="s">
        <v>269</v>
      </c>
      <c r="I19" s="3">
        <v>45</v>
      </c>
      <c r="J19" s="8" t="s">
        <v>275</v>
      </c>
      <c r="K19" s="3" t="s">
        <v>275</v>
      </c>
      <c r="L19" s="3" t="s">
        <v>287</v>
      </c>
      <c r="M19" s="3">
        <v>2023</v>
      </c>
      <c r="N19" s="3" t="s">
        <v>294</v>
      </c>
      <c r="O19" s="98">
        <v>2</v>
      </c>
      <c r="P19" s="3">
        <v>2</v>
      </c>
      <c r="Q19" s="3">
        <v>2</v>
      </c>
      <c r="R19" s="3">
        <v>17</v>
      </c>
      <c r="S19" s="3" t="s">
        <v>334</v>
      </c>
      <c r="T19" s="8" t="s">
        <v>324</v>
      </c>
      <c r="U19" s="8" t="s">
        <v>331</v>
      </c>
      <c r="V19" s="3" t="s">
        <v>326</v>
      </c>
      <c r="W19" s="3" t="s">
        <v>342</v>
      </c>
      <c r="X19" s="3" t="s">
        <v>387</v>
      </c>
      <c r="Y19" s="8" t="s">
        <v>388</v>
      </c>
      <c r="Z19" s="8" t="s">
        <v>695</v>
      </c>
      <c r="AA19" s="8" t="s">
        <v>401</v>
      </c>
      <c r="AB19" s="69" t="s">
        <v>275</v>
      </c>
      <c r="AC19" s="3" t="s">
        <v>731</v>
      </c>
      <c r="AD19" s="3" t="s">
        <v>415</v>
      </c>
      <c r="AE19" s="3" t="s">
        <v>435</v>
      </c>
      <c r="AG19" s="70" t="s">
        <v>487</v>
      </c>
      <c r="AH19" s="8" t="s">
        <v>275</v>
      </c>
      <c r="AI19" s="3" t="s">
        <v>275</v>
      </c>
      <c r="AJ19" s="8" t="s">
        <v>275</v>
      </c>
      <c r="AK19" s="8" t="s">
        <v>275</v>
      </c>
      <c r="AL19" s="71" t="s">
        <v>275</v>
      </c>
      <c r="AM19" s="72" t="s">
        <v>629</v>
      </c>
      <c r="AN19" s="3" t="s">
        <v>275</v>
      </c>
      <c r="AO19" s="3" t="s">
        <v>275</v>
      </c>
      <c r="AP19" s="3" t="s">
        <v>275</v>
      </c>
      <c r="AQ19" s="3" t="s">
        <v>275</v>
      </c>
      <c r="AR19" s="3" t="s">
        <v>275</v>
      </c>
      <c r="AS19" s="99" t="s">
        <v>275</v>
      </c>
    </row>
    <row r="20" spans="1:45" ht="72.5" x14ac:dyDescent="0.35">
      <c r="A20" s="67" t="s">
        <v>22</v>
      </c>
      <c r="B20" s="3" t="s">
        <v>119</v>
      </c>
      <c r="C20" s="95" t="s">
        <v>998</v>
      </c>
      <c r="D20" s="86" t="s">
        <v>168</v>
      </c>
      <c r="E20" s="3" t="s">
        <v>185</v>
      </c>
      <c r="F20" s="3" t="s">
        <v>197</v>
      </c>
      <c r="G20" s="87" t="s">
        <v>226</v>
      </c>
      <c r="H20" s="3" t="s">
        <v>273</v>
      </c>
      <c r="I20" s="3">
        <v>12.3</v>
      </c>
      <c r="J20" s="8" t="s">
        <v>275</v>
      </c>
      <c r="K20" s="3" t="s">
        <v>275</v>
      </c>
      <c r="L20" s="3" t="s">
        <v>291</v>
      </c>
      <c r="M20" s="3" t="s">
        <v>299</v>
      </c>
      <c r="N20" s="3" t="s">
        <v>294</v>
      </c>
      <c r="O20" s="98">
        <v>5</v>
      </c>
      <c r="P20" s="3">
        <v>1</v>
      </c>
      <c r="Q20" s="3">
        <v>5</v>
      </c>
      <c r="R20" s="3">
        <v>35</v>
      </c>
      <c r="S20" s="3" t="s">
        <v>334</v>
      </c>
      <c r="T20" s="8" t="s">
        <v>324</v>
      </c>
      <c r="U20" s="8" t="s">
        <v>331</v>
      </c>
      <c r="V20" s="3" t="s">
        <v>332</v>
      </c>
      <c r="W20" s="3" t="s">
        <v>333</v>
      </c>
      <c r="X20" s="3" t="s">
        <v>390</v>
      </c>
      <c r="Y20" s="8" t="s">
        <v>388</v>
      </c>
      <c r="Z20" s="8" t="s">
        <v>696</v>
      </c>
      <c r="AA20" s="8" t="s">
        <v>389</v>
      </c>
      <c r="AB20" s="69" t="s">
        <v>708</v>
      </c>
      <c r="AC20" s="3" t="s">
        <v>729</v>
      </c>
      <c r="AD20" s="3" t="s">
        <v>415</v>
      </c>
      <c r="AE20" s="3" t="s">
        <v>416</v>
      </c>
      <c r="AF20" s="3">
        <v>170</v>
      </c>
      <c r="AG20" s="70" t="s">
        <v>482</v>
      </c>
      <c r="AH20" s="8" t="s">
        <v>519</v>
      </c>
      <c r="AI20" s="3" t="s">
        <v>494</v>
      </c>
      <c r="AJ20" s="8" t="s">
        <v>520</v>
      </c>
      <c r="AK20" s="8" t="s">
        <v>521</v>
      </c>
      <c r="AL20" s="71" t="s">
        <v>961</v>
      </c>
      <c r="AM20" s="72" t="s">
        <v>613</v>
      </c>
      <c r="AN20" s="3">
        <v>35</v>
      </c>
      <c r="AO20" s="3">
        <v>31</v>
      </c>
      <c r="AP20" s="3">
        <v>31</v>
      </c>
      <c r="AQ20" s="3" t="s">
        <v>630</v>
      </c>
      <c r="AR20" s="3">
        <v>30</v>
      </c>
      <c r="AS20" s="99" t="s">
        <v>631</v>
      </c>
    </row>
    <row r="21" spans="1:45" ht="62" x14ac:dyDescent="0.35">
      <c r="A21" s="67" t="s">
        <v>23</v>
      </c>
      <c r="B21" s="3" t="s">
        <v>120</v>
      </c>
      <c r="C21" s="95" t="s">
        <v>999</v>
      </c>
      <c r="D21" s="86" t="s">
        <v>165</v>
      </c>
      <c r="E21" s="3" t="s">
        <v>185</v>
      </c>
      <c r="F21" s="3" t="s">
        <v>198</v>
      </c>
      <c r="G21" s="87" t="s">
        <v>227</v>
      </c>
      <c r="H21" s="3" t="s">
        <v>269</v>
      </c>
      <c r="I21" s="3" t="s">
        <v>275</v>
      </c>
      <c r="J21" s="8" t="s">
        <v>907</v>
      </c>
      <c r="K21" s="3" t="s">
        <v>275</v>
      </c>
      <c r="L21" s="3" t="s">
        <v>291</v>
      </c>
      <c r="M21" s="3">
        <v>2021</v>
      </c>
      <c r="N21" s="3" t="s">
        <v>294</v>
      </c>
      <c r="O21" s="98">
        <v>1</v>
      </c>
      <c r="P21" s="3">
        <v>18.309999999999999</v>
      </c>
      <c r="Q21" s="3">
        <v>18.309999999999999</v>
      </c>
      <c r="R21" s="3">
        <v>46</v>
      </c>
      <c r="S21" s="3" t="s">
        <v>334</v>
      </c>
      <c r="T21" s="8" t="s">
        <v>339</v>
      </c>
      <c r="U21" s="8" t="s">
        <v>331</v>
      </c>
      <c r="V21" s="3" t="s">
        <v>340</v>
      </c>
      <c r="W21" s="3" t="s">
        <v>333</v>
      </c>
      <c r="X21" s="3" t="s">
        <v>390</v>
      </c>
      <c r="Y21" s="8" t="s">
        <v>391</v>
      </c>
      <c r="Z21" s="8" t="s">
        <v>275</v>
      </c>
      <c r="AA21" s="8" t="s">
        <v>389</v>
      </c>
      <c r="AB21" s="69" t="s">
        <v>708</v>
      </c>
      <c r="AC21" s="3" t="s">
        <v>737</v>
      </c>
      <c r="AD21" s="3" t="s">
        <v>419</v>
      </c>
      <c r="AE21" s="3" t="s">
        <v>422</v>
      </c>
      <c r="AF21" s="3">
        <v>60</v>
      </c>
      <c r="AG21" s="70" t="s">
        <v>482</v>
      </c>
      <c r="AH21" s="8" t="s">
        <v>522</v>
      </c>
      <c r="AI21" s="3" t="s">
        <v>502</v>
      </c>
      <c r="AJ21" s="8" t="s">
        <v>523</v>
      </c>
      <c r="AK21" s="8" t="s">
        <v>524</v>
      </c>
      <c r="AL21" s="71" t="s">
        <v>962</v>
      </c>
      <c r="AM21" s="72" t="s">
        <v>275</v>
      </c>
      <c r="AN21" s="3" t="s">
        <v>275</v>
      </c>
      <c r="AO21" s="3" t="s">
        <v>275</v>
      </c>
      <c r="AP21" s="3" t="s">
        <v>275</v>
      </c>
      <c r="AQ21" s="3" t="s">
        <v>275</v>
      </c>
      <c r="AR21" s="3" t="s">
        <v>275</v>
      </c>
      <c r="AS21" s="99" t="s">
        <v>275</v>
      </c>
    </row>
    <row r="22" spans="1:45" ht="62" x14ac:dyDescent="0.35">
      <c r="A22" s="67" t="s">
        <v>24</v>
      </c>
      <c r="B22" s="3" t="s">
        <v>121</v>
      </c>
      <c r="C22" s="95" t="s">
        <v>1000</v>
      </c>
      <c r="D22" s="86" t="s">
        <v>169</v>
      </c>
      <c r="E22" s="3" t="s">
        <v>185</v>
      </c>
      <c r="F22" s="3" t="s">
        <v>193</v>
      </c>
      <c r="G22" s="87" t="s">
        <v>228</v>
      </c>
      <c r="H22" s="3" t="s">
        <v>270</v>
      </c>
      <c r="I22" s="3" t="s">
        <v>275</v>
      </c>
      <c r="J22" s="8" t="s">
        <v>275</v>
      </c>
      <c r="K22" s="3" t="s">
        <v>275</v>
      </c>
      <c r="L22" s="3" t="s">
        <v>288</v>
      </c>
      <c r="M22" s="3">
        <v>2015</v>
      </c>
      <c r="N22" s="3" t="s">
        <v>294</v>
      </c>
      <c r="O22" s="98">
        <v>1</v>
      </c>
      <c r="P22" s="3">
        <v>1.5</v>
      </c>
      <c r="Q22" s="3">
        <v>1.5</v>
      </c>
      <c r="R22" s="3">
        <v>9</v>
      </c>
      <c r="S22" s="3" t="s">
        <v>338</v>
      </c>
      <c r="T22" s="8" t="s">
        <v>324</v>
      </c>
      <c r="U22" s="8" t="s">
        <v>331</v>
      </c>
      <c r="V22" s="3" t="s">
        <v>326</v>
      </c>
      <c r="W22" s="3" t="s">
        <v>275</v>
      </c>
      <c r="X22" s="3" t="s">
        <v>387</v>
      </c>
      <c r="Y22" s="8" t="s">
        <v>391</v>
      </c>
      <c r="Z22" s="8" t="s">
        <v>402</v>
      </c>
      <c r="AA22" s="8" t="s">
        <v>399</v>
      </c>
      <c r="AB22" s="69" t="s">
        <v>709</v>
      </c>
      <c r="AC22" s="3" t="s">
        <v>730</v>
      </c>
      <c r="AD22" s="3" t="s">
        <v>436</v>
      </c>
      <c r="AE22" s="3" t="s">
        <v>437</v>
      </c>
      <c r="AF22" s="3" t="s">
        <v>438</v>
      </c>
      <c r="AG22" s="70" t="s">
        <v>488</v>
      </c>
      <c r="AH22" s="8" t="s">
        <v>509</v>
      </c>
      <c r="AI22" s="3" t="s">
        <v>275</v>
      </c>
      <c r="AJ22" s="8" t="s">
        <v>275</v>
      </c>
      <c r="AK22" s="8" t="s">
        <v>275</v>
      </c>
      <c r="AL22" s="71" t="s">
        <v>275</v>
      </c>
      <c r="AM22" s="72" t="s">
        <v>275</v>
      </c>
      <c r="AN22" s="3" t="s">
        <v>275</v>
      </c>
      <c r="AO22" s="3" t="s">
        <v>275</v>
      </c>
      <c r="AP22" s="3" t="s">
        <v>275</v>
      </c>
      <c r="AQ22" s="3" t="s">
        <v>275</v>
      </c>
      <c r="AR22" s="3" t="s">
        <v>275</v>
      </c>
      <c r="AS22" s="99" t="s">
        <v>275</v>
      </c>
    </row>
    <row r="23" spans="1:45" ht="62" x14ac:dyDescent="0.35">
      <c r="A23" s="67" t="s">
        <v>25</v>
      </c>
      <c r="B23" s="3" t="s">
        <v>122</v>
      </c>
      <c r="C23" s="95" t="s">
        <v>1001</v>
      </c>
      <c r="D23" s="86" t="s">
        <v>170</v>
      </c>
      <c r="E23" s="3" t="s">
        <v>185</v>
      </c>
      <c r="F23" s="3" t="s">
        <v>196</v>
      </c>
      <c r="G23" s="87" t="s">
        <v>229</v>
      </c>
      <c r="H23" s="3" t="s">
        <v>269</v>
      </c>
      <c r="I23" s="3" t="s">
        <v>277</v>
      </c>
      <c r="J23" s="8" t="s">
        <v>301</v>
      </c>
      <c r="K23" s="3">
        <v>14.5</v>
      </c>
      <c r="L23" s="3" t="s">
        <v>291</v>
      </c>
      <c r="M23" s="3" t="s">
        <v>282</v>
      </c>
      <c r="N23" s="3" t="s">
        <v>283</v>
      </c>
      <c r="O23" s="98">
        <v>2</v>
      </c>
      <c r="P23" s="3">
        <v>30</v>
      </c>
      <c r="Q23" s="3">
        <v>60</v>
      </c>
      <c r="R23" s="3">
        <v>9</v>
      </c>
      <c r="S23" s="3" t="s">
        <v>338</v>
      </c>
      <c r="T23" s="8" t="s">
        <v>339</v>
      </c>
      <c r="U23" s="8" t="s">
        <v>331</v>
      </c>
      <c r="V23" s="3" t="s">
        <v>340</v>
      </c>
      <c r="W23" s="3" t="s">
        <v>333</v>
      </c>
      <c r="X23" s="3" t="s">
        <v>390</v>
      </c>
      <c r="Y23" s="8" t="s">
        <v>391</v>
      </c>
      <c r="Z23" s="8" t="s">
        <v>275</v>
      </c>
      <c r="AA23" s="8" t="s">
        <v>389</v>
      </c>
      <c r="AB23" s="69" t="s">
        <v>708</v>
      </c>
      <c r="AC23" s="3" t="s">
        <v>737</v>
      </c>
      <c r="AD23" s="3" t="s">
        <v>419</v>
      </c>
      <c r="AE23" s="3" t="s">
        <v>422</v>
      </c>
      <c r="AF23" s="3" t="s">
        <v>439</v>
      </c>
      <c r="AG23" s="70" t="s">
        <v>482</v>
      </c>
      <c r="AH23" s="8" t="s">
        <v>525</v>
      </c>
      <c r="AI23" s="3" t="s">
        <v>506</v>
      </c>
      <c r="AJ23" s="8" t="s">
        <v>526</v>
      </c>
      <c r="AK23" s="8" t="s">
        <v>527</v>
      </c>
      <c r="AL23" s="71" t="s">
        <v>963</v>
      </c>
      <c r="AM23" s="72" t="s">
        <v>632</v>
      </c>
      <c r="AN23" s="3">
        <v>9</v>
      </c>
      <c r="AO23" s="3" t="s">
        <v>633</v>
      </c>
      <c r="AP23" s="3" t="s">
        <v>634</v>
      </c>
      <c r="AQ23" s="3" t="s">
        <v>635</v>
      </c>
      <c r="AR23" s="3" t="s">
        <v>636</v>
      </c>
      <c r="AS23" s="99" t="s">
        <v>611</v>
      </c>
    </row>
    <row r="24" spans="1:45" ht="58" x14ac:dyDescent="0.35">
      <c r="A24" s="67" t="s">
        <v>26</v>
      </c>
      <c r="B24" s="3" t="s">
        <v>123</v>
      </c>
      <c r="C24" s="95" t="s">
        <v>1002</v>
      </c>
      <c r="D24" s="86" t="s">
        <v>170</v>
      </c>
      <c r="E24" s="3" t="s">
        <v>185</v>
      </c>
      <c r="F24" s="3" t="s">
        <v>190</v>
      </c>
      <c r="G24" s="87" t="s">
        <v>230</v>
      </c>
      <c r="H24" s="3" t="s">
        <v>270</v>
      </c>
      <c r="I24" s="3" t="s">
        <v>275</v>
      </c>
      <c r="J24" s="8" t="s">
        <v>275</v>
      </c>
      <c r="K24" s="3" t="s">
        <v>275</v>
      </c>
      <c r="L24" s="3" t="s">
        <v>291</v>
      </c>
      <c r="M24" s="3">
        <v>2017</v>
      </c>
      <c r="N24" s="3" t="s">
        <v>294</v>
      </c>
      <c r="O24" s="98">
        <v>5</v>
      </c>
      <c r="P24" s="3">
        <v>2</v>
      </c>
      <c r="Q24" s="3">
        <v>10</v>
      </c>
      <c r="R24" s="3">
        <v>17</v>
      </c>
      <c r="S24" s="3" t="s">
        <v>341</v>
      </c>
      <c r="T24" s="8" t="s">
        <v>324</v>
      </c>
      <c r="U24" s="8" t="s">
        <v>331</v>
      </c>
      <c r="V24" s="3" t="s">
        <v>326</v>
      </c>
      <c r="W24" s="3" t="s">
        <v>342</v>
      </c>
      <c r="X24" s="3" t="s">
        <v>387</v>
      </c>
      <c r="Y24" s="8" t="s">
        <v>388</v>
      </c>
      <c r="Z24" s="8" t="s">
        <v>692</v>
      </c>
      <c r="AA24" s="8" t="s">
        <v>389</v>
      </c>
      <c r="AB24" s="69" t="s">
        <v>712</v>
      </c>
      <c r="AC24" s="3" t="s">
        <v>730</v>
      </c>
      <c r="AD24" s="3" t="s">
        <v>419</v>
      </c>
      <c r="AE24" s="3" t="s">
        <v>434</v>
      </c>
      <c r="AF24" s="3">
        <v>106</v>
      </c>
      <c r="AG24" s="70" t="s">
        <v>482</v>
      </c>
      <c r="AH24" s="8" t="s">
        <v>497</v>
      </c>
      <c r="AI24" s="3" t="s">
        <v>502</v>
      </c>
      <c r="AJ24" s="8" t="s">
        <v>528</v>
      </c>
      <c r="AK24" s="8" t="s">
        <v>529</v>
      </c>
      <c r="AL24" s="71" t="s">
        <v>964</v>
      </c>
      <c r="AM24" s="72" t="s">
        <v>637</v>
      </c>
      <c r="AN24" s="3">
        <v>17</v>
      </c>
      <c r="AO24" s="3">
        <v>25</v>
      </c>
      <c r="AP24" s="3">
        <v>16</v>
      </c>
      <c r="AQ24" s="3" t="s">
        <v>638</v>
      </c>
      <c r="AR24" s="3">
        <v>15</v>
      </c>
      <c r="AS24" s="99" t="s">
        <v>611</v>
      </c>
    </row>
    <row r="25" spans="1:45" ht="77.5" x14ac:dyDescent="0.35">
      <c r="A25" s="67" t="s">
        <v>27</v>
      </c>
      <c r="B25" s="3" t="s">
        <v>124</v>
      </c>
      <c r="C25" s="95" t="s">
        <v>1003</v>
      </c>
      <c r="D25" s="86" t="s">
        <v>156</v>
      </c>
      <c r="E25" s="3" t="s">
        <v>185</v>
      </c>
      <c r="F25" s="3" t="s">
        <v>190</v>
      </c>
      <c r="G25" s="87" t="s">
        <v>231</v>
      </c>
      <c r="H25" s="3" t="s">
        <v>269</v>
      </c>
      <c r="I25" s="3">
        <v>346</v>
      </c>
      <c r="J25" s="8" t="s">
        <v>275</v>
      </c>
      <c r="K25" s="3" t="s">
        <v>275</v>
      </c>
      <c r="L25" s="3" t="s">
        <v>281</v>
      </c>
      <c r="M25" s="3">
        <v>2018</v>
      </c>
      <c r="N25" s="3" t="s">
        <v>914</v>
      </c>
      <c r="O25" s="98">
        <v>3</v>
      </c>
      <c r="P25" s="3" t="s">
        <v>349</v>
      </c>
      <c r="Q25" s="3">
        <v>3</v>
      </c>
      <c r="R25" s="3">
        <v>35</v>
      </c>
      <c r="S25" s="3" t="s">
        <v>338</v>
      </c>
      <c r="T25" s="8" t="s">
        <v>324</v>
      </c>
      <c r="U25" s="8" t="s">
        <v>331</v>
      </c>
      <c r="V25" s="3" t="s">
        <v>332</v>
      </c>
      <c r="W25" s="3" t="s">
        <v>333</v>
      </c>
      <c r="X25" s="3" t="s">
        <v>390</v>
      </c>
      <c r="Y25" s="8" t="s">
        <v>275</v>
      </c>
      <c r="Z25" s="8" t="s">
        <v>275</v>
      </c>
      <c r="AA25" s="8" t="s">
        <v>389</v>
      </c>
      <c r="AB25" s="69" t="s">
        <v>709</v>
      </c>
      <c r="AC25" s="3" t="s">
        <v>729</v>
      </c>
      <c r="AD25" s="3" t="s">
        <v>440</v>
      </c>
      <c r="AE25" s="3" t="s">
        <v>441</v>
      </c>
      <c r="AF25" s="3" t="s">
        <v>275</v>
      </c>
      <c r="AG25" s="70" t="s">
        <v>482</v>
      </c>
      <c r="AH25" s="8" t="s">
        <v>530</v>
      </c>
      <c r="AI25" s="3" t="s">
        <v>531</v>
      </c>
      <c r="AJ25" s="8" t="s">
        <v>532</v>
      </c>
      <c r="AK25" s="8" t="s">
        <v>533</v>
      </c>
      <c r="AL25" s="71" t="s">
        <v>950</v>
      </c>
      <c r="AM25" s="72" t="s">
        <v>639</v>
      </c>
      <c r="AN25" s="3">
        <v>14</v>
      </c>
      <c r="AO25" s="3">
        <v>27</v>
      </c>
      <c r="AP25" s="3" t="s">
        <v>640</v>
      </c>
      <c r="AQ25" s="3" t="s">
        <v>641</v>
      </c>
      <c r="AR25" s="3">
        <v>16</v>
      </c>
      <c r="AS25" s="99" t="s">
        <v>611</v>
      </c>
    </row>
    <row r="26" spans="1:45" ht="77.5" x14ac:dyDescent="0.35">
      <c r="A26" s="67" t="s">
        <v>28</v>
      </c>
      <c r="B26" s="3" t="s">
        <v>125</v>
      </c>
      <c r="C26" s="95" t="s">
        <v>1004</v>
      </c>
      <c r="D26" s="86" t="s">
        <v>159</v>
      </c>
      <c r="E26" s="3" t="s">
        <v>185</v>
      </c>
      <c r="F26" s="3" t="s">
        <v>199</v>
      </c>
      <c r="G26" s="87" t="s">
        <v>232</v>
      </c>
      <c r="H26" s="3" t="s">
        <v>270</v>
      </c>
      <c r="I26" s="3" t="s">
        <v>275</v>
      </c>
      <c r="J26" s="8">
        <v>0.48</v>
      </c>
      <c r="K26" s="3" t="s">
        <v>275</v>
      </c>
      <c r="L26" s="3" t="s">
        <v>291</v>
      </c>
      <c r="M26" s="3">
        <v>2018</v>
      </c>
      <c r="N26" s="3" t="s">
        <v>294</v>
      </c>
      <c r="O26" s="98">
        <v>1</v>
      </c>
      <c r="P26" s="3">
        <v>1</v>
      </c>
      <c r="Q26" s="3" t="s">
        <v>350</v>
      </c>
      <c r="R26" s="3">
        <v>3</v>
      </c>
      <c r="S26" s="3" t="s">
        <v>338</v>
      </c>
      <c r="T26" s="8" t="s">
        <v>324</v>
      </c>
      <c r="U26" s="8" t="s">
        <v>331</v>
      </c>
      <c r="V26" s="3" t="s">
        <v>326</v>
      </c>
      <c r="W26" s="3" t="s">
        <v>351</v>
      </c>
      <c r="X26" s="3" t="s">
        <v>387</v>
      </c>
      <c r="Y26" s="8" t="s">
        <v>388</v>
      </c>
      <c r="Z26" s="8" t="s">
        <v>692</v>
      </c>
      <c r="AA26" s="8" t="s">
        <v>389</v>
      </c>
      <c r="AB26" s="69" t="s">
        <v>709</v>
      </c>
      <c r="AC26" s="3" t="s">
        <v>729</v>
      </c>
      <c r="AD26" s="3" t="s">
        <v>442</v>
      </c>
      <c r="AE26" s="3" t="s">
        <v>443</v>
      </c>
      <c r="AF26" s="3">
        <v>731</v>
      </c>
      <c r="AG26" s="70" t="s">
        <v>489</v>
      </c>
      <c r="AH26" s="8" t="s">
        <v>534</v>
      </c>
      <c r="AI26" s="3" t="s">
        <v>535</v>
      </c>
      <c r="AJ26" s="8" t="s">
        <v>536</v>
      </c>
      <c r="AK26" s="8" t="s">
        <v>537</v>
      </c>
      <c r="AL26" s="71" t="s">
        <v>965</v>
      </c>
      <c r="AM26" s="72" t="s">
        <v>275</v>
      </c>
      <c r="AN26" s="3" t="s">
        <v>275</v>
      </c>
      <c r="AO26" s="3" t="s">
        <v>275</v>
      </c>
      <c r="AP26" s="3" t="s">
        <v>275</v>
      </c>
      <c r="AQ26" s="3" t="s">
        <v>275</v>
      </c>
      <c r="AR26" s="3" t="s">
        <v>275</v>
      </c>
      <c r="AS26" s="99" t="s">
        <v>275</v>
      </c>
    </row>
    <row r="27" spans="1:45" ht="72.5" x14ac:dyDescent="0.35">
      <c r="A27" s="67" t="s">
        <v>29</v>
      </c>
      <c r="B27" s="3" t="s">
        <v>125</v>
      </c>
      <c r="C27" s="95" t="s">
        <v>1005</v>
      </c>
      <c r="D27" s="86" t="s">
        <v>171</v>
      </c>
      <c r="E27" s="3" t="s">
        <v>185</v>
      </c>
      <c r="F27" s="3" t="s">
        <v>199</v>
      </c>
      <c r="G27" s="87" t="s">
        <v>233</v>
      </c>
      <c r="H27" s="3" t="s">
        <v>270</v>
      </c>
      <c r="I27" s="3" t="s">
        <v>275</v>
      </c>
      <c r="J27" s="8" t="s">
        <v>275</v>
      </c>
      <c r="K27" s="3" t="s">
        <v>275</v>
      </c>
      <c r="L27" s="3" t="s">
        <v>291</v>
      </c>
      <c r="M27" s="3" t="s">
        <v>285</v>
      </c>
      <c r="N27" s="3" t="s">
        <v>914</v>
      </c>
      <c r="O27" s="98">
        <v>1</v>
      </c>
      <c r="P27" s="3">
        <v>1</v>
      </c>
      <c r="Q27" s="3" t="s">
        <v>352</v>
      </c>
      <c r="R27" s="3">
        <v>60</v>
      </c>
      <c r="S27" s="3" t="s">
        <v>338</v>
      </c>
      <c r="T27" s="8" t="s">
        <v>353</v>
      </c>
      <c r="U27" s="8" t="s">
        <v>331</v>
      </c>
      <c r="V27" s="3" t="s">
        <v>326</v>
      </c>
      <c r="W27" s="3" t="s">
        <v>351</v>
      </c>
      <c r="X27" s="3" t="s">
        <v>387</v>
      </c>
      <c r="Y27" s="8" t="s">
        <v>388</v>
      </c>
      <c r="Z27" s="8" t="s">
        <v>692</v>
      </c>
      <c r="AA27" s="8" t="s">
        <v>389</v>
      </c>
      <c r="AB27" s="69" t="s">
        <v>709</v>
      </c>
      <c r="AC27" s="3" t="s">
        <v>729</v>
      </c>
      <c r="AD27" s="3" t="s">
        <v>444</v>
      </c>
      <c r="AE27" s="3" t="s">
        <v>445</v>
      </c>
      <c r="AF27" s="3">
        <v>101</v>
      </c>
      <c r="AG27" s="70" t="s">
        <v>484</v>
      </c>
      <c r="AH27" s="8" t="s">
        <v>509</v>
      </c>
      <c r="AI27" s="3" t="s">
        <v>275</v>
      </c>
      <c r="AJ27" s="8" t="s">
        <v>275</v>
      </c>
      <c r="AK27" s="8" t="s">
        <v>275</v>
      </c>
      <c r="AL27" s="71" t="s">
        <v>965</v>
      </c>
      <c r="AM27" s="72" t="s">
        <v>275</v>
      </c>
      <c r="AN27" s="3" t="s">
        <v>275</v>
      </c>
      <c r="AO27" s="3" t="s">
        <v>275</v>
      </c>
      <c r="AP27" s="3" t="s">
        <v>275</v>
      </c>
      <c r="AQ27" s="3" t="s">
        <v>275</v>
      </c>
      <c r="AR27" s="3" t="s">
        <v>275</v>
      </c>
      <c r="AS27" s="99" t="s">
        <v>275</v>
      </c>
    </row>
    <row r="28" spans="1:45" ht="58" x14ac:dyDescent="0.35">
      <c r="A28" s="67" t="s">
        <v>30</v>
      </c>
      <c r="B28" s="3" t="s">
        <v>126</v>
      </c>
      <c r="C28" s="95" t="s">
        <v>1006</v>
      </c>
      <c r="D28" s="86" t="s">
        <v>172</v>
      </c>
      <c r="E28" s="3" t="s">
        <v>186</v>
      </c>
      <c r="F28" s="3" t="s">
        <v>200</v>
      </c>
      <c r="G28" s="87" t="s">
        <v>904</v>
      </c>
      <c r="H28" s="3" t="s">
        <v>273</v>
      </c>
      <c r="I28" s="3">
        <v>30</v>
      </c>
      <c r="J28" s="8" t="s">
        <v>275</v>
      </c>
      <c r="K28" s="3" t="s">
        <v>275</v>
      </c>
      <c r="L28" s="3" t="s">
        <v>290</v>
      </c>
      <c r="M28" s="3" t="s">
        <v>302</v>
      </c>
      <c r="N28" s="3" t="s">
        <v>294</v>
      </c>
      <c r="O28" s="98">
        <v>3</v>
      </c>
      <c r="P28" s="3">
        <v>1</v>
      </c>
      <c r="Q28" s="3">
        <v>3</v>
      </c>
      <c r="R28" s="3">
        <v>15</v>
      </c>
      <c r="S28" s="3" t="s">
        <v>338</v>
      </c>
      <c r="T28" s="8" t="s">
        <v>324</v>
      </c>
      <c r="U28" s="8" t="s">
        <v>325</v>
      </c>
      <c r="V28" s="3" t="s">
        <v>326</v>
      </c>
      <c r="W28" s="3" t="s">
        <v>354</v>
      </c>
      <c r="X28" s="3" t="s">
        <v>387</v>
      </c>
      <c r="Y28" s="8" t="s">
        <v>403</v>
      </c>
      <c r="Z28" s="8" t="s">
        <v>275</v>
      </c>
      <c r="AA28" s="8" t="s">
        <v>389</v>
      </c>
      <c r="AB28" s="69" t="s">
        <v>713</v>
      </c>
      <c r="AC28" s="3" t="s">
        <v>738</v>
      </c>
      <c r="AD28" s="3" t="s">
        <v>419</v>
      </c>
      <c r="AE28" s="3" t="s">
        <v>416</v>
      </c>
      <c r="AF28" s="3" t="s">
        <v>446</v>
      </c>
      <c r="AG28" s="70" t="s">
        <v>482</v>
      </c>
      <c r="AH28" s="8" t="s">
        <v>497</v>
      </c>
      <c r="AI28" s="3" t="s">
        <v>502</v>
      </c>
      <c r="AJ28" s="8" t="s">
        <v>538</v>
      </c>
      <c r="AK28" s="8" t="s">
        <v>539</v>
      </c>
      <c r="AL28" s="71" t="s">
        <v>966</v>
      </c>
      <c r="AM28" s="72" t="s">
        <v>275</v>
      </c>
      <c r="AN28" s="3" t="s">
        <v>275</v>
      </c>
      <c r="AO28" s="3" t="s">
        <v>275</v>
      </c>
      <c r="AP28" s="3" t="s">
        <v>275</v>
      </c>
      <c r="AQ28" s="3" t="s">
        <v>275</v>
      </c>
      <c r="AR28" s="3" t="s">
        <v>275</v>
      </c>
      <c r="AS28" s="99" t="s">
        <v>275</v>
      </c>
    </row>
    <row r="29" spans="1:45" ht="58" x14ac:dyDescent="0.35">
      <c r="A29" s="67" t="s">
        <v>31</v>
      </c>
      <c r="B29" s="3" t="s">
        <v>151</v>
      </c>
      <c r="C29" s="95" t="s">
        <v>1007</v>
      </c>
      <c r="D29" s="86" t="s">
        <v>181</v>
      </c>
      <c r="E29" s="3" t="s">
        <v>186</v>
      </c>
      <c r="F29" s="3" t="s">
        <v>211</v>
      </c>
      <c r="G29" s="87" t="s">
        <v>262</v>
      </c>
      <c r="H29" s="3" t="s">
        <v>269</v>
      </c>
      <c r="I29" s="3">
        <v>36</v>
      </c>
      <c r="J29" s="8" t="s">
        <v>275</v>
      </c>
      <c r="K29" s="3" t="s">
        <v>275</v>
      </c>
      <c r="L29" s="3" t="s">
        <v>291</v>
      </c>
      <c r="M29" s="3">
        <v>2020</v>
      </c>
      <c r="N29" s="3" t="s">
        <v>283</v>
      </c>
      <c r="O29" s="98">
        <v>1</v>
      </c>
      <c r="P29" s="3">
        <v>0.5</v>
      </c>
      <c r="Q29" s="3">
        <v>0.5</v>
      </c>
      <c r="R29" s="3">
        <v>12</v>
      </c>
      <c r="S29" s="3" t="s">
        <v>338</v>
      </c>
      <c r="T29" s="8" t="s">
        <v>353</v>
      </c>
      <c r="U29" s="8" t="s">
        <v>331</v>
      </c>
      <c r="V29" s="3" t="s">
        <v>332</v>
      </c>
      <c r="W29" s="3" t="s">
        <v>333</v>
      </c>
      <c r="X29" s="3" t="s">
        <v>390</v>
      </c>
      <c r="Y29" s="8" t="s">
        <v>391</v>
      </c>
      <c r="Z29" s="8" t="s">
        <v>275</v>
      </c>
      <c r="AA29" s="8" t="s">
        <v>389</v>
      </c>
      <c r="AB29" s="69" t="s">
        <v>709</v>
      </c>
      <c r="AC29" s="3" t="s">
        <v>729</v>
      </c>
      <c r="AD29" s="3" t="s">
        <v>419</v>
      </c>
      <c r="AE29" s="3" t="s">
        <v>478</v>
      </c>
      <c r="AF29" s="3">
        <v>124</v>
      </c>
      <c r="AG29" s="70" t="s">
        <v>482</v>
      </c>
      <c r="AH29" s="8" t="s">
        <v>591</v>
      </c>
      <c r="AI29" s="3" t="s">
        <v>502</v>
      </c>
      <c r="AJ29" s="8" t="s">
        <v>592</v>
      </c>
      <c r="AK29" s="8" t="s">
        <v>593</v>
      </c>
      <c r="AL29" s="71" t="s">
        <v>967</v>
      </c>
      <c r="AM29" s="72" t="s">
        <v>680</v>
      </c>
      <c r="AN29" s="3">
        <v>5</v>
      </c>
      <c r="AO29" s="3">
        <v>19</v>
      </c>
      <c r="AP29" s="3">
        <v>17</v>
      </c>
      <c r="AQ29" s="3" t="s">
        <v>681</v>
      </c>
      <c r="AR29" s="3">
        <v>14</v>
      </c>
      <c r="AS29" s="99" t="s">
        <v>611</v>
      </c>
    </row>
    <row r="30" spans="1:45" ht="46.5" x14ac:dyDescent="0.35">
      <c r="A30" s="67" t="s">
        <v>32</v>
      </c>
      <c r="B30" s="3" t="s">
        <v>127</v>
      </c>
      <c r="C30" s="95" t="s">
        <v>1008</v>
      </c>
      <c r="D30" s="86" t="s">
        <v>164</v>
      </c>
      <c r="E30" s="3" t="s">
        <v>189</v>
      </c>
      <c r="F30" s="3" t="s">
        <v>201</v>
      </c>
      <c r="G30" s="87" t="s">
        <v>234</v>
      </c>
      <c r="H30" s="3" t="s">
        <v>270</v>
      </c>
      <c r="I30" s="3">
        <v>0.24</v>
      </c>
      <c r="J30" s="8" t="s">
        <v>908</v>
      </c>
      <c r="K30" s="3">
        <v>0.24</v>
      </c>
      <c r="L30" s="3" t="s">
        <v>287</v>
      </c>
      <c r="M30" s="3">
        <v>2012</v>
      </c>
      <c r="N30" s="3" t="s">
        <v>283</v>
      </c>
      <c r="O30" s="98">
        <v>1</v>
      </c>
      <c r="P30" s="3">
        <v>6</v>
      </c>
      <c r="Q30" s="3">
        <v>6</v>
      </c>
      <c r="R30" s="3">
        <v>9</v>
      </c>
      <c r="S30" s="3" t="s">
        <v>338</v>
      </c>
      <c r="T30" s="8" t="s">
        <v>355</v>
      </c>
      <c r="U30" s="8" t="s">
        <v>325</v>
      </c>
      <c r="V30" s="3" t="s">
        <v>340</v>
      </c>
      <c r="W30" s="3" t="s">
        <v>333</v>
      </c>
      <c r="X30" s="3" t="s">
        <v>387</v>
      </c>
      <c r="Y30" s="8" t="s">
        <v>393</v>
      </c>
      <c r="Z30" s="8" t="s">
        <v>275</v>
      </c>
      <c r="AA30" s="8" t="s">
        <v>404</v>
      </c>
      <c r="AB30" s="69" t="s">
        <v>714</v>
      </c>
      <c r="AC30" s="3" t="s">
        <v>730</v>
      </c>
      <c r="AD30" s="3" t="s">
        <v>444</v>
      </c>
      <c r="AE30" s="3" t="s">
        <v>425</v>
      </c>
      <c r="AF30" s="3">
        <v>90</v>
      </c>
      <c r="AG30" s="70" t="s">
        <v>490</v>
      </c>
      <c r="AH30" s="8" t="s">
        <v>275</v>
      </c>
      <c r="AI30" s="3" t="s">
        <v>275</v>
      </c>
      <c r="AJ30" s="8" t="s">
        <v>275</v>
      </c>
      <c r="AK30" s="8" t="s">
        <v>275</v>
      </c>
      <c r="AL30" s="71" t="s">
        <v>954</v>
      </c>
      <c r="AM30" s="72" t="s">
        <v>642</v>
      </c>
      <c r="AN30" s="3" t="s">
        <v>275</v>
      </c>
      <c r="AO30" s="3" t="s">
        <v>275</v>
      </c>
      <c r="AP30" s="3" t="s">
        <v>275</v>
      </c>
      <c r="AQ30" s="3" t="s">
        <v>275</v>
      </c>
      <c r="AR30" s="3" t="s">
        <v>275</v>
      </c>
      <c r="AS30" s="99" t="s">
        <v>275</v>
      </c>
    </row>
    <row r="31" spans="1:45" ht="62" x14ac:dyDescent="0.35">
      <c r="A31" s="67" t="s">
        <v>33</v>
      </c>
      <c r="B31" s="3" t="s">
        <v>926</v>
      </c>
      <c r="C31" s="95" t="s">
        <v>1009</v>
      </c>
      <c r="D31" s="86" t="s">
        <v>165</v>
      </c>
      <c r="E31" s="3" t="s">
        <v>185</v>
      </c>
      <c r="F31" s="3" t="s">
        <v>194</v>
      </c>
      <c r="G31" s="87" t="s">
        <v>235</v>
      </c>
      <c r="H31" s="3" t="s">
        <v>269</v>
      </c>
      <c r="I31" s="3">
        <v>36</v>
      </c>
      <c r="J31" s="8" t="s">
        <v>275</v>
      </c>
      <c r="K31" s="3" t="s">
        <v>303</v>
      </c>
      <c r="L31" s="3" t="s">
        <v>291</v>
      </c>
      <c r="M31" s="3" t="s">
        <v>304</v>
      </c>
      <c r="N31" s="3" t="s">
        <v>283</v>
      </c>
      <c r="O31" s="98">
        <v>3</v>
      </c>
      <c r="P31" s="3">
        <v>0.5</v>
      </c>
      <c r="Q31" s="3">
        <v>0.5</v>
      </c>
      <c r="R31" s="3">
        <v>12</v>
      </c>
      <c r="S31" s="3" t="s">
        <v>338</v>
      </c>
      <c r="T31" s="8" t="s">
        <v>356</v>
      </c>
      <c r="U31" s="8" t="s">
        <v>331</v>
      </c>
      <c r="V31" s="3" t="s">
        <v>326</v>
      </c>
      <c r="X31" s="3" t="s">
        <v>387</v>
      </c>
      <c r="Y31" s="8" t="s">
        <v>393</v>
      </c>
      <c r="Z31" s="8" t="s">
        <v>692</v>
      </c>
      <c r="AA31" s="8" t="s">
        <v>397</v>
      </c>
      <c r="AB31" s="69" t="s">
        <v>715</v>
      </c>
      <c r="AC31" s="3" t="s">
        <v>729</v>
      </c>
      <c r="AD31" s="3" t="s">
        <v>444</v>
      </c>
      <c r="AE31" s="3" t="s">
        <v>447</v>
      </c>
      <c r="AF31" s="3">
        <v>125</v>
      </c>
      <c r="AG31" s="70" t="s">
        <v>491</v>
      </c>
      <c r="AH31" s="8" t="s">
        <v>275</v>
      </c>
      <c r="AI31" s="3" t="s">
        <v>275</v>
      </c>
      <c r="AJ31" s="8" t="s">
        <v>275</v>
      </c>
      <c r="AK31" s="8" t="s">
        <v>275</v>
      </c>
      <c r="AL31" s="71" t="s">
        <v>958</v>
      </c>
      <c r="AM31" s="72" t="s">
        <v>643</v>
      </c>
      <c r="AN31" s="3" t="s">
        <v>275</v>
      </c>
      <c r="AO31" s="3" t="s">
        <v>275</v>
      </c>
      <c r="AP31" s="3" t="s">
        <v>275</v>
      </c>
      <c r="AQ31" s="3" t="s">
        <v>275</v>
      </c>
      <c r="AR31" s="3" t="s">
        <v>275</v>
      </c>
      <c r="AS31" s="99" t="s">
        <v>275</v>
      </c>
    </row>
    <row r="32" spans="1:45" ht="62" x14ac:dyDescent="0.35">
      <c r="A32" s="67" t="s">
        <v>34</v>
      </c>
      <c r="B32" s="3" t="s">
        <v>128</v>
      </c>
      <c r="C32" s="95" t="s">
        <v>1010</v>
      </c>
      <c r="D32" s="86" t="s">
        <v>159</v>
      </c>
      <c r="E32" s="3" t="s">
        <v>185</v>
      </c>
      <c r="F32" s="3" t="s">
        <v>202</v>
      </c>
      <c r="G32" s="87" t="s">
        <v>236</v>
      </c>
      <c r="H32" s="3" t="s">
        <v>270</v>
      </c>
      <c r="I32" s="3" t="s">
        <v>275</v>
      </c>
      <c r="J32" s="8" t="s">
        <v>275</v>
      </c>
      <c r="K32" s="3" t="s">
        <v>275</v>
      </c>
      <c r="L32" s="3" t="s">
        <v>288</v>
      </c>
      <c r="M32" s="3" t="s">
        <v>305</v>
      </c>
      <c r="N32" s="3" t="s">
        <v>294</v>
      </c>
      <c r="O32" s="98">
        <v>2</v>
      </c>
      <c r="P32" s="3">
        <v>30</v>
      </c>
      <c r="Q32" s="3">
        <v>60</v>
      </c>
      <c r="R32" s="3">
        <v>48</v>
      </c>
      <c r="S32" s="3" t="s">
        <v>338</v>
      </c>
      <c r="T32" s="8" t="s">
        <v>355</v>
      </c>
      <c r="U32" s="8" t="s">
        <v>331</v>
      </c>
      <c r="V32" s="3" t="s">
        <v>340</v>
      </c>
      <c r="W32" s="3" t="s">
        <v>333</v>
      </c>
      <c r="X32" s="3" t="s">
        <v>390</v>
      </c>
      <c r="Y32" s="8" t="s">
        <v>391</v>
      </c>
      <c r="Z32" s="8" t="s">
        <v>275</v>
      </c>
      <c r="AA32" s="8" t="s">
        <v>389</v>
      </c>
      <c r="AB32" s="69" t="s">
        <v>708</v>
      </c>
      <c r="AC32" s="3" t="s">
        <v>737</v>
      </c>
      <c r="AD32" s="3" t="s">
        <v>444</v>
      </c>
      <c r="AE32" s="3" t="s">
        <v>448</v>
      </c>
      <c r="AF32" s="3">
        <v>420</v>
      </c>
      <c r="AG32" s="70" t="s">
        <v>482</v>
      </c>
      <c r="AH32" s="8" t="s">
        <v>540</v>
      </c>
      <c r="AI32" s="3" t="s">
        <v>494</v>
      </c>
      <c r="AJ32" s="8" t="s">
        <v>541</v>
      </c>
      <c r="AK32" s="8" t="s">
        <v>542</v>
      </c>
      <c r="AL32" s="71" t="s">
        <v>968</v>
      </c>
      <c r="AM32" s="72" t="s">
        <v>275</v>
      </c>
      <c r="AN32" s="3" t="s">
        <v>275</v>
      </c>
      <c r="AO32" s="3" t="s">
        <v>275</v>
      </c>
      <c r="AP32" s="3" t="s">
        <v>275</v>
      </c>
      <c r="AQ32" s="3" t="s">
        <v>275</v>
      </c>
      <c r="AR32" s="3" t="s">
        <v>275</v>
      </c>
      <c r="AS32" s="99" t="s">
        <v>275</v>
      </c>
    </row>
    <row r="33" spans="1:45" ht="62" x14ac:dyDescent="0.35">
      <c r="A33" s="67" t="s">
        <v>35</v>
      </c>
      <c r="B33" s="3" t="s">
        <v>129</v>
      </c>
      <c r="C33" s="95" t="s">
        <v>1011</v>
      </c>
      <c r="D33" s="86" t="s">
        <v>157</v>
      </c>
      <c r="E33" s="3" t="s">
        <v>185</v>
      </c>
      <c r="F33" s="3" t="s">
        <v>203</v>
      </c>
      <c r="G33" s="87" t="s">
        <v>237</v>
      </c>
      <c r="H33" s="3" t="s">
        <v>269</v>
      </c>
      <c r="I33" s="3" t="s">
        <v>275</v>
      </c>
      <c r="J33" s="8" t="s">
        <v>306</v>
      </c>
      <c r="K33" s="3" t="s">
        <v>275</v>
      </c>
      <c r="L33" s="3" t="s">
        <v>287</v>
      </c>
      <c r="M33" s="3">
        <v>2017</v>
      </c>
      <c r="N33" s="3" t="s">
        <v>283</v>
      </c>
      <c r="O33" s="98" t="s">
        <v>357</v>
      </c>
      <c r="P33" s="3" t="s">
        <v>358</v>
      </c>
      <c r="Q33" s="3" t="s">
        <v>359</v>
      </c>
      <c r="R33" s="3">
        <v>11</v>
      </c>
      <c r="S33" s="3" t="s">
        <v>338</v>
      </c>
      <c r="T33" s="8" t="s">
        <v>353</v>
      </c>
      <c r="U33" s="8" t="s">
        <v>331</v>
      </c>
      <c r="V33" s="3" t="s">
        <v>332</v>
      </c>
      <c r="W33" s="3" t="s">
        <v>333</v>
      </c>
      <c r="X33" s="3" t="s">
        <v>387</v>
      </c>
      <c r="Y33" s="8" t="s">
        <v>393</v>
      </c>
      <c r="Z33" s="8" t="s">
        <v>275</v>
      </c>
      <c r="AA33" s="8" t="s">
        <v>397</v>
      </c>
      <c r="AB33" s="69" t="s">
        <v>716</v>
      </c>
      <c r="AC33" s="3" t="s">
        <v>739</v>
      </c>
      <c r="AD33" s="3" t="s">
        <v>449</v>
      </c>
      <c r="AE33" s="3" t="s">
        <v>450</v>
      </c>
      <c r="AF33" s="3" t="s">
        <v>451</v>
      </c>
      <c r="AG33" s="70" t="s">
        <v>482</v>
      </c>
      <c r="AH33" s="8" t="s">
        <v>543</v>
      </c>
      <c r="AI33" s="3" t="s">
        <v>502</v>
      </c>
      <c r="AJ33" s="8" t="s">
        <v>544</v>
      </c>
      <c r="AK33" s="8" t="s">
        <v>545</v>
      </c>
      <c r="AL33" s="71" t="s">
        <v>969</v>
      </c>
      <c r="AM33" s="72" t="s">
        <v>644</v>
      </c>
      <c r="AN33" s="3" t="s">
        <v>275</v>
      </c>
      <c r="AO33" s="3">
        <v>23</v>
      </c>
      <c r="AP33" s="3">
        <v>43</v>
      </c>
      <c r="AQ33" s="3">
        <v>0.53</v>
      </c>
      <c r="AR33" s="3">
        <v>23</v>
      </c>
      <c r="AS33" s="99" t="s">
        <v>623</v>
      </c>
    </row>
    <row r="34" spans="1:45" ht="58" x14ac:dyDescent="0.35">
      <c r="A34" s="67" t="s">
        <v>36</v>
      </c>
      <c r="B34" s="3" t="s">
        <v>130</v>
      </c>
      <c r="C34" s="95" t="s">
        <v>1012</v>
      </c>
      <c r="D34" s="86" t="s">
        <v>156</v>
      </c>
      <c r="E34" s="3" t="s">
        <v>189</v>
      </c>
      <c r="F34" s="3" t="s">
        <v>201</v>
      </c>
      <c r="G34" s="87" t="s">
        <v>238</v>
      </c>
      <c r="H34" s="3" t="s">
        <v>270</v>
      </c>
      <c r="I34" s="3" t="s">
        <v>905</v>
      </c>
      <c r="J34" s="8" t="s">
        <v>909</v>
      </c>
      <c r="K34" s="3" t="s">
        <v>275</v>
      </c>
      <c r="L34" s="3" t="s">
        <v>308</v>
      </c>
      <c r="M34" s="3" t="s">
        <v>302</v>
      </c>
      <c r="N34" s="3" t="s">
        <v>294</v>
      </c>
      <c r="O34" s="98">
        <v>9</v>
      </c>
      <c r="P34" s="3">
        <v>0.5</v>
      </c>
      <c r="Q34" s="3">
        <v>4.5</v>
      </c>
      <c r="R34" s="3">
        <v>19</v>
      </c>
      <c r="S34" s="3" t="s">
        <v>338</v>
      </c>
      <c r="T34" s="8" t="s">
        <v>324</v>
      </c>
      <c r="U34" s="8" t="s">
        <v>325</v>
      </c>
      <c r="V34" s="3" t="s">
        <v>326</v>
      </c>
      <c r="W34" s="3" t="s">
        <v>360</v>
      </c>
      <c r="X34" s="3" t="s">
        <v>387</v>
      </c>
      <c r="Y34" s="8" t="s">
        <v>388</v>
      </c>
      <c r="Z34" s="8" t="s">
        <v>697</v>
      </c>
      <c r="AA34" s="8" t="s">
        <v>389</v>
      </c>
      <c r="AB34" s="69" t="s">
        <v>275</v>
      </c>
      <c r="AC34" s="3" t="s">
        <v>729</v>
      </c>
      <c r="AD34" s="3" t="s">
        <v>452</v>
      </c>
      <c r="AE34" s="3" t="s">
        <v>453</v>
      </c>
      <c r="AF34" s="3" t="s">
        <v>275</v>
      </c>
      <c r="AG34" s="70" t="s">
        <v>482</v>
      </c>
      <c r="AH34" s="8" t="s">
        <v>546</v>
      </c>
      <c r="AI34" s="3" t="s">
        <v>547</v>
      </c>
      <c r="AJ34" s="8" t="s">
        <v>548</v>
      </c>
      <c r="AK34" s="8" t="s">
        <v>549</v>
      </c>
      <c r="AL34" s="71" t="s">
        <v>970</v>
      </c>
      <c r="AM34" s="72" t="s">
        <v>645</v>
      </c>
      <c r="AN34" s="3">
        <v>19</v>
      </c>
      <c r="AO34" s="3">
        <v>99</v>
      </c>
      <c r="AP34" s="3">
        <v>82</v>
      </c>
      <c r="AQ34" s="3" t="s">
        <v>646</v>
      </c>
      <c r="AR34" s="3">
        <v>76</v>
      </c>
      <c r="AS34" s="99" t="s">
        <v>611</v>
      </c>
    </row>
    <row r="35" spans="1:45" ht="58" x14ac:dyDescent="0.35">
      <c r="A35" s="67" t="s">
        <v>37</v>
      </c>
      <c r="B35" s="3" t="s">
        <v>131</v>
      </c>
      <c r="C35" s="95" t="s">
        <v>1013</v>
      </c>
      <c r="D35" s="86" t="s">
        <v>159</v>
      </c>
      <c r="E35" s="3" t="s">
        <v>186</v>
      </c>
      <c r="F35" s="3" t="s">
        <v>200</v>
      </c>
      <c r="G35" s="87" t="s">
        <v>239</v>
      </c>
      <c r="H35" s="3" t="s">
        <v>270</v>
      </c>
      <c r="I35" s="3">
        <v>0.1</v>
      </c>
      <c r="J35" s="8">
        <v>4.49</v>
      </c>
      <c r="K35" s="3" t="s">
        <v>275</v>
      </c>
      <c r="L35" s="3" t="s">
        <v>288</v>
      </c>
      <c r="M35" s="3">
        <v>2023</v>
      </c>
      <c r="N35" s="3" t="s">
        <v>294</v>
      </c>
      <c r="O35" s="98">
        <v>3</v>
      </c>
      <c r="P35" s="3">
        <v>2</v>
      </c>
      <c r="Q35" s="3">
        <v>6</v>
      </c>
      <c r="R35" s="3">
        <v>9</v>
      </c>
      <c r="S35" s="3" t="s">
        <v>338</v>
      </c>
      <c r="T35" s="8" t="s">
        <v>324</v>
      </c>
      <c r="U35" s="8" t="s">
        <v>331</v>
      </c>
      <c r="V35" s="3" t="s">
        <v>326</v>
      </c>
      <c r="W35" s="3" t="s">
        <v>361</v>
      </c>
      <c r="X35" s="3" t="s">
        <v>387</v>
      </c>
      <c r="Y35" s="8" t="s">
        <v>403</v>
      </c>
      <c r="Z35" s="8" t="s">
        <v>698</v>
      </c>
      <c r="AA35" s="8" t="s">
        <v>389</v>
      </c>
      <c r="AB35" s="69" t="s">
        <v>717</v>
      </c>
      <c r="AC35" s="3" t="s">
        <v>730</v>
      </c>
      <c r="AD35" s="3" t="s">
        <v>419</v>
      </c>
      <c r="AE35" s="3" t="s">
        <v>454</v>
      </c>
      <c r="AF35" s="3" t="s">
        <v>275</v>
      </c>
      <c r="AG35" s="70" t="s">
        <v>482</v>
      </c>
      <c r="AH35" s="8" t="s">
        <v>497</v>
      </c>
      <c r="AI35" s="3" t="s">
        <v>502</v>
      </c>
      <c r="AJ35" s="8" t="s">
        <v>550</v>
      </c>
      <c r="AK35" s="8" t="s">
        <v>551</v>
      </c>
      <c r="AL35" s="71" t="s">
        <v>950</v>
      </c>
      <c r="AM35" s="72" t="s">
        <v>613</v>
      </c>
      <c r="AN35" s="3">
        <v>9</v>
      </c>
      <c r="AO35" s="3">
        <v>42</v>
      </c>
      <c r="AP35" s="3">
        <v>34</v>
      </c>
      <c r="AQ35" s="3" t="s">
        <v>647</v>
      </c>
      <c r="AR35" s="3" t="s">
        <v>648</v>
      </c>
      <c r="AS35" s="99" t="s">
        <v>611</v>
      </c>
    </row>
    <row r="36" spans="1:45" ht="58" x14ac:dyDescent="0.35">
      <c r="A36" s="67" t="s">
        <v>38</v>
      </c>
      <c r="B36" s="3" t="s">
        <v>132</v>
      </c>
      <c r="C36" s="95" t="s">
        <v>1014</v>
      </c>
      <c r="D36" s="86" t="s">
        <v>173</v>
      </c>
      <c r="E36" s="3" t="s">
        <v>186</v>
      </c>
      <c r="F36" s="3" t="s">
        <v>200</v>
      </c>
      <c r="G36" s="87" t="s">
        <v>240</v>
      </c>
      <c r="H36" s="3" t="s">
        <v>269</v>
      </c>
      <c r="I36" s="3" t="s">
        <v>275</v>
      </c>
      <c r="J36" s="8" t="s">
        <v>275</v>
      </c>
      <c r="K36" s="3" t="s">
        <v>275</v>
      </c>
      <c r="L36" s="3" t="s">
        <v>290</v>
      </c>
      <c r="M36" s="3">
        <v>2023</v>
      </c>
      <c r="N36" s="3" t="s">
        <v>294</v>
      </c>
      <c r="O36" s="98">
        <v>1</v>
      </c>
      <c r="P36" s="3" t="s">
        <v>362</v>
      </c>
      <c r="Q36" s="3" t="s">
        <v>362</v>
      </c>
      <c r="R36" s="3">
        <v>14</v>
      </c>
      <c r="S36" s="3" t="s">
        <v>338</v>
      </c>
      <c r="T36" s="8" t="s">
        <v>324</v>
      </c>
      <c r="U36" s="8" t="s">
        <v>331</v>
      </c>
      <c r="V36" s="3" t="s">
        <v>340</v>
      </c>
      <c r="W36" s="3" t="s">
        <v>333</v>
      </c>
      <c r="X36" s="3" t="s">
        <v>387</v>
      </c>
      <c r="Y36" s="8" t="s">
        <v>403</v>
      </c>
      <c r="Z36" s="8" t="s">
        <v>275</v>
      </c>
      <c r="AA36" s="8" t="s">
        <v>389</v>
      </c>
      <c r="AB36" s="69" t="s">
        <v>275</v>
      </c>
      <c r="AC36" s="3" t="s">
        <v>455</v>
      </c>
      <c r="AD36" s="3" t="s">
        <v>440</v>
      </c>
      <c r="AE36" s="3" t="s">
        <v>456</v>
      </c>
      <c r="AF36" s="3" t="s">
        <v>275</v>
      </c>
      <c r="AG36" s="70" t="s">
        <v>482</v>
      </c>
      <c r="AH36" s="8" t="s">
        <v>552</v>
      </c>
      <c r="AI36" s="3" t="s">
        <v>502</v>
      </c>
      <c r="AJ36" s="8" t="s">
        <v>553</v>
      </c>
      <c r="AK36" s="8" t="s">
        <v>554</v>
      </c>
      <c r="AL36" s="71" t="s">
        <v>275</v>
      </c>
      <c r="AM36" s="72" t="s">
        <v>649</v>
      </c>
      <c r="AN36" s="3">
        <v>14</v>
      </c>
      <c r="AO36" s="3">
        <v>72</v>
      </c>
      <c r="AP36" s="3">
        <v>40</v>
      </c>
      <c r="AQ36" s="3" t="s">
        <v>650</v>
      </c>
      <c r="AR36" s="3" t="s">
        <v>275</v>
      </c>
      <c r="AS36" s="99" t="s">
        <v>611</v>
      </c>
    </row>
    <row r="37" spans="1:45" ht="62" x14ac:dyDescent="0.35">
      <c r="A37" s="67" t="s">
        <v>39</v>
      </c>
      <c r="B37" s="3" t="s">
        <v>133</v>
      </c>
      <c r="C37" s="95" t="s">
        <v>1015</v>
      </c>
      <c r="D37" s="86" t="s">
        <v>156</v>
      </c>
      <c r="E37" s="3" t="s">
        <v>185</v>
      </c>
      <c r="F37" s="3" t="s">
        <v>194</v>
      </c>
      <c r="G37" s="87" t="s">
        <v>241</v>
      </c>
      <c r="H37" s="3" t="s">
        <v>270</v>
      </c>
      <c r="I37" s="3" t="s">
        <v>275</v>
      </c>
      <c r="J37" s="8" t="s">
        <v>275</v>
      </c>
      <c r="K37" s="3" t="s">
        <v>275</v>
      </c>
      <c r="L37" s="3" t="s">
        <v>290</v>
      </c>
      <c r="M37" s="3">
        <v>2016</v>
      </c>
      <c r="N37" s="3" t="s">
        <v>294</v>
      </c>
      <c r="O37" s="98">
        <v>3</v>
      </c>
      <c r="P37" s="3">
        <v>0.25</v>
      </c>
      <c r="Q37" s="3">
        <v>0.75</v>
      </c>
      <c r="R37" s="3">
        <v>61</v>
      </c>
      <c r="S37" s="3" t="s">
        <v>338</v>
      </c>
      <c r="T37" s="8" t="s">
        <v>353</v>
      </c>
      <c r="U37" s="8" t="s">
        <v>331</v>
      </c>
      <c r="V37" s="3" t="s">
        <v>332</v>
      </c>
      <c r="W37" s="3" t="s">
        <v>333</v>
      </c>
      <c r="X37" s="3" t="s">
        <v>387</v>
      </c>
      <c r="Y37" s="8" t="s">
        <v>393</v>
      </c>
      <c r="Z37" s="8" t="s">
        <v>699</v>
      </c>
      <c r="AA37" s="8" t="s">
        <v>397</v>
      </c>
      <c r="AB37" s="69" t="s">
        <v>709</v>
      </c>
      <c r="AC37" s="3" t="s">
        <v>740</v>
      </c>
      <c r="AD37" s="3" t="s">
        <v>417</v>
      </c>
      <c r="AE37" s="3" t="s">
        <v>457</v>
      </c>
      <c r="AF37" s="3">
        <v>313</v>
      </c>
      <c r="AG37" s="70" t="s">
        <v>482</v>
      </c>
      <c r="AH37" s="8" t="s">
        <v>555</v>
      </c>
      <c r="AI37" s="3" t="s">
        <v>494</v>
      </c>
      <c r="AJ37" s="8" t="s">
        <v>556</v>
      </c>
      <c r="AK37" s="8" t="s">
        <v>557</v>
      </c>
      <c r="AL37" s="71" t="s">
        <v>950</v>
      </c>
      <c r="AM37" s="72" t="s">
        <v>275</v>
      </c>
      <c r="AN37" s="3">
        <v>61</v>
      </c>
      <c r="AO37" s="3">
        <v>42</v>
      </c>
      <c r="AP37" s="3">
        <v>47</v>
      </c>
      <c r="AQ37" s="3" t="s">
        <v>652</v>
      </c>
      <c r="AR37" s="3">
        <v>36</v>
      </c>
      <c r="AS37" s="99" t="s">
        <v>623</v>
      </c>
    </row>
    <row r="38" spans="1:45" ht="72.5" x14ac:dyDescent="0.35">
      <c r="A38" s="67" t="s">
        <v>40</v>
      </c>
      <c r="B38" s="3" t="s">
        <v>154</v>
      </c>
      <c r="C38" s="95" t="s">
        <v>1016</v>
      </c>
      <c r="D38" s="86" t="s">
        <v>183</v>
      </c>
      <c r="E38" s="3" t="s">
        <v>189</v>
      </c>
      <c r="F38" s="3" t="s">
        <v>213</v>
      </c>
      <c r="G38" s="87" t="s">
        <v>265</v>
      </c>
      <c r="H38" s="3" t="s">
        <v>269</v>
      </c>
      <c r="I38" s="3">
        <v>350</v>
      </c>
      <c r="J38" s="8">
        <v>10000</v>
      </c>
      <c r="K38" s="3" t="s">
        <v>275</v>
      </c>
      <c r="L38" s="3" t="s">
        <v>287</v>
      </c>
      <c r="M38" s="3">
        <v>2021</v>
      </c>
      <c r="N38" s="3" t="s">
        <v>283</v>
      </c>
      <c r="O38" s="98">
        <v>3</v>
      </c>
      <c r="P38" s="3">
        <v>1</v>
      </c>
      <c r="Q38" s="3">
        <v>3</v>
      </c>
      <c r="R38" s="3">
        <v>48</v>
      </c>
      <c r="S38" s="3" t="s">
        <v>341</v>
      </c>
      <c r="T38" s="8" t="s">
        <v>324</v>
      </c>
      <c r="U38" s="8" t="s">
        <v>331</v>
      </c>
      <c r="V38" s="3" t="s">
        <v>332</v>
      </c>
      <c r="W38" s="3" t="s">
        <v>384</v>
      </c>
      <c r="X38" s="3" t="s">
        <v>844</v>
      </c>
      <c r="Y38" s="8" t="s">
        <v>414</v>
      </c>
      <c r="Z38" s="8" t="s">
        <v>275</v>
      </c>
      <c r="AA38" s="8" t="s">
        <v>409</v>
      </c>
      <c r="AB38" s="69" t="s">
        <v>728</v>
      </c>
      <c r="AC38" s="3" t="s">
        <v>746</v>
      </c>
      <c r="AD38" s="3" t="s">
        <v>419</v>
      </c>
      <c r="AE38" s="3" t="s">
        <v>479</v>
      </c>
      <c r="AF38" s="3">
        <v>286</v>
      </c>
      <c r="AG38" s="70" t="s">
        <v>482</v>
      </c>
      <c r="AH38" s="8" t="s">
        <v>600</v>
      </c>
      <c r="AI38" s="3" t="s">
        <v>275</v>
      </c>
      <c r="AJ38" s="8" t="s">
        <v>601</v>
      </c>
      <c r="AK38" s="8" t="s">
        <v>602</v>
      </c>
      <c r="AL38" s="71" t="s">
        <v>971</v>
      </c>
      <c r="AM38" s="72" t="s">
        <v>687</v>
      </c>
      <c r="AN38" s="3">
        <v>48</v>
      </c>
      <c r="AO38" s="3">
        <v>67</v>
      </c>
      <c r="AP38" s="3">
        <v>38</v>
      </c>
      <c r="AQ38" s="3" t="s">
        <v>688</v>
      </c>
      <c r="AR38" s="3">
        <v>37</v>
      </c>
      <c r="AS38" s="99" t="s">
        <v>611</v>
      </c>
    </row>
    <row r="39" spans="1:45" ht="58" x14ac:dyDescent="0.35">
      <c r="A39" s="67" t="s">
        <v>41</v>
      </c>
      <c r="B39" s="3" t="s">
        <v>155</v>
      </c>
      <c r="C39" s="95" t="s">
        <v>1017</v>
      </c>
      <c r="D39" s="86" t="s">
        <v>184</v>
      </c>
      <c r="E39" s="3" t="s">
        <v>187</v>
      </c>
      <c r="F39" s="3" t="s">
        <v>187</v>
      </c>
      <c r="G39" s="87" t="s">
        <v>266</v>
      </c>
      <c r="H39" s="3" t="s">
        <v>270</v>
      </c>
      <c r="I39" s="3" t="s">
        <v>275</v>
      </c>
      <c r="J39" s="8" t="s">
        <v>275</v>
      </c>
      <c r="K39" s="3" t="s">
        <v>275</v>
      </c>
      <c r="L39" s="3" t="s">
        <v>281</v>
      </c>
      <c r="M39" s="3" t="s">
        <v>322</v>
      </c>
      <c r="N39" s="3" t="s">
        <v>283</v>
      </c>
      <c r="O39" s="98">
        <v>5</v>
      </c>
      <c r="P39" s="3" t="s">
        <v>385</v>
      </c>
      <c r="Q39" s="3" t="s">
        <v>386</v>
      </c>
      <c r="R39" s="3">
        <v>25</v>
      </c>
      <c r="T39" s="8" t="s">
        <v>353</v>
      </c>
      <c r="U39" s="8" t="s">
        <v>331</v>
      </c>
      <c r="V39" s="3" t="s">
        <v>332</v>
      </c>
      <c r="W39" s="3" t="s">
        <v>384</v>
      </c>
      <c r="X39" s="3" t="s">
        <v>390</v>
      </c>
      <c r="Y39" s="8" t="s">
        <v>275</v>
      </c>
      <c r="Z39" s="8" t="s">
        <v>275</v>
      </c>
      <c r="AA39" s="8" t="s">
        <v>396</v>
      </c>
      <c r="AB39" s="69" t="s">
        <v>709</v>
      </c>
      <c r="AC39" s="3" t="s">
        <v>729</v>
      </c>
      <c r="AD39" s="3" t="s">
        <v>419</v>
      </c>
      <c r="AE39" s="3" t="s">
        <v>480</v>
      </c>
      <c r="AF39" s="3" t="s">
        <v>481</v>
      </c>
      <c r="AG39" s="70" t="s">
        <v>482</v>
      </c>
      <c r="AH39" s="8" t="s">
        <v>603</v>
      </c>
      <c r="AI39" s="3" t="s">
        <v>502</v>
      </c>
      <c r="AJ39" s="8" t="s">
        <v>604</v>
      </c>
      <c r="AK39" s="8" t="s">
        <v>605</v>
      </c>
      <c r="AL39" s="71" t="s">
        <v>972</v>
      </c>
      <c r="AM39" s="72" t="s">
        <v>613</v>
      </c>
      <c r="AN39" s="3">
        <v>24</v>
      </c>
      <c r="AO39" s="3">
        <v>27</v>
      </c>
      <c r="AP39" s="3">
        <v>19</v>
      </c>
      <c r="AQ39" s="3" t="s">
        <v>689</v>
      </c>
      <c r="AR39" s="3">
        <v>19</v>
      </c>
      <c r="AS39" s="99" t="s">
        <v>611</v>
      </c>
    </row>
    <row r="40" spans="1:45" ht="62" x14ac:dyDescent="0.35">
      <c r="A40" s="67" t="s">
        <v>42</v>
      </c>
      <c r="B40" s="3" t="s">
        <v>134</v>
      </c>
      <c r="C40" s="95" t="s">
        <v>1018</v>
      </c>
      <c r="D40" s="86" t="s">
        <v>174</v>
      </c>
      <c r="E40" s="3" t="s">
        <v>185</v>
      </c>
      <c r="F40" s="3" t="s">
        <v>204</v>
      </c>
      <c r="G40" s="87" t="s">
        <v>242</v>
      </c>
      <c r="H40" s="3" t="s">
        <v>269</v>
      </c>
      <c r="I40" s="3">
        <v>2850</v>
      </c>
      <c r="J40" s="8">
        <v>6400</v>
      </c>
      <c r="K40" s="3" t="s">
        <v>275</v>
      </c>
      <c r="L40" s="3" t="s">
        <v>288</v>
      </c>
      <c r="M40" s="3">
        <v>2019</v>
      </c>
      <c r="N40" s="3" t="s">
        <v>283</v>
      </c>
      <c r="O40" s="98">
        <v>2</v>
      </c>
      <c r="P40" s="3">
        <v>28.73</v>
      </c>
      <c r="Q40" s="3">
        <v>57</v>
      </c>
      <c r="R40" s="3">
        <v>47</v>
      </c>
      <c r="S40" s="3" t="s">
        <v>334</v>
      </c>
      <c r="T40" s="8" t="s">
        <v>355</v>
      </c>
      <c r="U40" s="8" t="s">
        <v>331</v>
      </c>
      <c r="V40" s="3" t="s">
        <v>340</v>
      </c>
      <c r="W40" s="3" t="s">
        <v>333</v>
      </c>
      <c r="X40" s="3" t="s">
        <v>390</v>
      </c>
      <c r="Y40" s="8" t="s">
        <v>391</v>
      </c>
      <c r="Z40" s="8" t="s">
        <v>275</v>
      </c>
      <c r="AA40" s="8" t="s">
        <v>389</v>
      </c>
      <c r="AB40" s="69" t="s">
        <v>708</v>
      </c>
      <c r="AC40" s="3" t="s">
        <v>737</v>
      </c>
      <c r="AD40" s="3" t="s">
        <v>419</v>
      </c>
      <c r="AE40" s="3" t="s">
        <v>422</v>
      </c>
      <c r="AF40" s="3">
        <v>60</v>
      </c>
      <c r="AG40" s="70" t="s">
        <v>482</v>
      </c>
      <c r="AH40" s="8" t="s">
        <v>497</v>
      </c>
      <c r="AI40" s="3" t="s">
        <v>502</v>
      </c>
      <c r="AJ40" s="8" t="s">
        <v>507</v>
      </c>
      <c r="AK40" s="8" t="s">
        <v>558</v>
      </c>
      <c r="AL40" s="71" t="s">
        <v>956</v>
      </c>
      <c r="AM40" s="72" t="s">
        <v>613</v>
      </c>
      <c r="AN40" s="3" t="s">
        <v>275</v>
      </c>
      <c r="AO40" s="3" t="s">
        <v>275</v>
      </c>
      <c r="AP40" s="3" t="s">
        <v>275</v>
      </c>
      <c r="AQ40" s="3" t="s">
        <v>275</v>
      </c>
      <c r="AR40" s="3" t="s">
        <v>275</v>
      </c>
      <c r="AS40" s="99" t="s">
        <v>275</v>
      </c>
    </row>
    <row r="41" spans="1:45" ht="62" x14ac:dyDescent="0.35">
      <c r="A41" s="67" t="s">
        <v>43</v>
      </c>
      <c r="B41" s="3" t="s">
        <v>135</v>
      </c>
      <c r="C41" s="95" t="s">
        <v>1019</v>
      </c>
      <c r="D41" s="86" t="s">
        <v>170</v>
      </c>
      <c r="E41" s="3" t="s">
        <v>185</v>
      </c>
      <c r="F41" s="3" t="s">
        <v>196</v>
      </c>
      <c r="G41" s="87" t="s">
        <v>243</v>
      </c>
      <c r="H41" s="3" t="s">
        <v>269</v>
      </c>
      <c r="I41" s="3" t="s">
        <v>279</v>
      </c>
      <c r="J41" s="8" t="s">
        <v>910</v>
      </c>
      <c r="K41" s="3" t="s">
        <v>275</v>
      </c>
      <c r="L41" s="3" t="s">
        <v>290</v>
      </c>
      <c r="M41" s="3" t="s">
        <v>310</v>
      </c>
      <c r="N41" s="3" t="s">
        <v>294</v>
      </c>
      <c r="O41" s="98">
        <v>3</v>
      </c>
      <c r="P41" s="3">
        <v>30</v>
      </c>
      <c r="Q41" s="3">
        <v>90</v>
      </c>
      <c r="R41" s="3">
        <v>3</v>
      </c>
      <c r="S41" s="3" t="s">
        <v>334</v>
      </c>
      <c r="T41" s="8" t="s">
        <v>355</v>
      </c>
      <c r="U41" s="8" t="s">
        <v>325</v>
      </c>
      <c r="V41" s="3" t="s">
        <v>340</v>
      </c>
      <c r="W41" s="3" t="s">
        <v>333</v>
      </c>
      <c r="X41" s="3" t="s">
        <v>390</v>
      </c>
      <c r="Y41" s="8" t="s">
        <v>275</v>
      </c>
      <c r="Z41" s="8" t="s">
        <v>275</v>
      </c>
      <c r="AA41" s="8" t="s">
        <v>389</v>
      </c>
      <c r="AB41" s="69" t="s">
        <v>708</v>
      </c>
      <c r="AC41" s="3" t="s">
        <v>737</v>
      </c>
      <c r="AD41" s="3" t="s">
        <v>419</v>
      </c>
      <c r="AE41" s="3" t="s">
        <v>422</v>
      </c>
      <c r="AF41" s="3">
        <v>60</v>
      </c>
      <c r="AG41" s="70" t="s">
        <v>482</v>
      </c>
      <c r="AH41" s="8" t="s">
        <v>559</v>
      </c>
      <c r="AI41" s="3" t="s">
        <v>506</v>
      </c>
      <c r="AJ41" s="8" t="s">
        <v>507</v>
      </c>
      <c r="AK41" s="8" t="s">
        <v>560</v>
      </c>
      <c r="AL41" s="71" t="s">
        <v>956</v>
      </c>
      <c r="AM41" s="72" t="s">
        <v>653</v>
      </c>
      <c r="AN41" s="3">
        <v>3</v>
      </c>
      <c r="AO41" s="3" t="s">
        <v>654</v>
      </c>
      <c r="AP41" s="3" t="s">
        <v>655</v>
      </c>
      <c r="AQ41" s="3" t="s">
        <v>656</v>
      </c>
      <c r="AR41" s="3" t="s">
        <v>655</v>
      </c>
      <c r="AS41" s="99" t="s">
        <v>611</v>
      </c>
    </row>
    <row r="42" spans="1:45" ht="62" x14ac:dyDescent="0.35">
      <c r="A42" s="67" t="s">
        <v>44</v>
      </c>
      <c r="B42" s="3" t="s">
        <v>136</v>
      </c>
      <c r="C42" s="95" t="s">
        <v>1020</v>
      </c>
      <c r="D42" s="86" t="s">
        <v>163</v>
      </c>
      <c r="E42" s="3" t="s">
        <v>185</v>
      </c>
      <c r="F42" s="3" t="s">
        <v>190</v>
      </c>
      <c r="G42" s="87" t="s">
        <v>244</v>
      </c>
      <c r="H42" s="3" t="s">
        <v>270</v>
      </c>
      <c r="I42" s="3">
        <v>0.75</v>
      </c>
      <c r="J42" s="8" t="s">
        <v>275</v>
      </c>
      <c r="K42" s="3" t="s">
        <v>275</v>
      </c>
      <c r="L42" s="3" t="s">
        <v>291</v>
      </c>
      <c r="M42" s="3" t="s">
        <v>311</v>
      </c>
      <c r="N42" s="3" t="s">
        <v>283</v>
      </c>
      <c r="O42" s="98">
        <v>3</v>
      </c>
      <c r="P42" s="3">
        <v>0.1</v>
      </c>
      <c r="Q42" s="3">
        <v>0.3</v>
      </c>
      <c r="R42" s="3">
        <v>6</v>
      </c>
      <c r="S42" s="3" t="s">
        <v>338</v>
      </c>
      <c r="T42" s="8" t="s">
        <v>353</v>
      </c>
      <c r="U42" s="8" t="s">
        <v>325</v>
      </c>
      <c r="V42" s="3" t="s">
        <v>340</v>
      </c>
      <c r="W42" s="3" t="s">
        <v>333</v>
      </c>
      <c r="X42" s="3" t="s">
        <v>390</v>
      </c>
      <c r="Y42" s="8" t="s">
        <v>405</v>
      </c>
      <c r="Z42" s="8" t="s">
        <v>275</v>
      </c>
      <c r="AA42" s="8" t="s">
        <v>389</v>
      </c>
      <c r="AB42" s="69" t="s">
        <v>718</v>
      </c>
      <c r="AC42" s="3" t="s">
        <v>741</v>
      </c>
      <c r="AD42" s="3" t="s">
        <v>419</v>
      </c>
      <c r="AE42" s="3" t="s">
        <v>434</v>
      </c>
      <c r="AF42" s="3">
        <v>144</v>
      </c>
      <c r="AG42" s="70" t="s">
        <v>482</v>
      </c>
      <c r="AH42" s="8" t="s">
        <v>497</v>
      </c>
      <c r="AI42" s="3" t="s">
        <v>561</v>
      </c>
      <c r="AJ42" s="8" t="s">
        <v>562</v>
      </c>
      <c r="AK42" s="8" t="s">
        <v>563</v>
      </c>
      <c r="AL42" s="71" t="s">
        <v>950</v>
      </c>
      <c r="AM42" s="72" t="s">
        <v>613</v>
      </c>
      <c r="AN42" s="3" t="s">
        <v>275</v>
      </c>
      <c r="AO42" s="3">
        <v>10</v>
      </c>
      <c r="AP42" s="3">
        <v>9</v>
      </c>
      <c r="AQ42" s="3" t="s">
        <v>657</v>
      </c>
      <c r="AR42" s="3">
        <v>9</v>
      </c>
      <c r="AS42" s="99" t="s">
        <v>658</v>
      </c>
    </row>
    <row r="43" spans="1:45" ht="62" x14ac:dyDescent="0.35">
      <c r="A43" s="67" t="s">
        <v>45</v>
      </c>
      <c r="B43" s="3" t="s">
        <v>137</v>
      </c>
      <c r="C43" s="95" t="s">
        <v>1021</v>
      </c>
      <c r="D43" s="86" t="s">
        <v>175</v>
      </c>
      <c r="E43" s="3" t="s">
        <v>185</v>
      </c>
      <c r="F43" s="3" t="s">
        <v>205</v>
      </c>
      <c r="G43" s="87" t="s">
        <v>245</v>
      </c>
      <c r="H43" s="3" t="s">
        <v>270</v>
      </c>
      <c r="I43" s="3">
        <v>28</v>
      </c>
      <c r="J43" s="8">
        <v>3.028</v>
      </c>
      <c r="K43" s="3" t="s">
        <v>275</v>
      </c>
      <c r="L43" s="3" t="s">
        <v>312</v>
      </c>
      <c r="M43" s="3" t="s">
        <v>313</v>
      </c>
      <c r="N43" s="3" t="s">
        <v>294</v>
      </c>
      <c r="O43" s="98" t="s">
        <v>359</v>
      </c>
      <c r="P43" s="3" t="s">
        <v>363</v>
      </c>
      <c r="Q43" s="3" t="s">
        <v>364</v>
      </c>
      <c r="R43" s="3" t="s">
        <v>365</v>
      </c>
      <c r="S43" s="3" t="s">
        <v>338</v>
      </c>
      <c r="T43" s="8" t="s">
        <v>324</v>
      </c>
      <c r="U43" s="8" t="s">
        <v>325</v>
      </c>
      <c r="V43" s="3" t="s">
        <v>326</v>
      </c>
      <c r="W43" s="3" t="s">
        <v>366</v>
      </c>
      <c r="X43" s="3" t="s">
        <v>387</v>
      </c>
      <c r="Y43" s="8" t="s">
        <v>406</v>
      </c>
      <c r="Z43" s="8" t="s">
        <v>700</v>
      </c>
      <c r="AA43" s="8" t="s">
        <v>407</v>
      </c>
      <c r="AB43" s="69" t="s">
        <v>717</v>
      </c>
      <c r="AC43" s="3" t="s">
        <v>730</v>
      </c>
      <c r="AD43" s="3" t="s">
        <v>458</v>
      </c>
      <c r="AE43" s="3" t="s">
        <v>459</v>
      </c>
      <c r="AF43" s="3" t="s">
        <v>460</v>
      </c>
      <c r="AG43" s="70" t="s">
        <v>492</v>
      </c>
      <c r="AH43" s="8" t="s">
        <v>564</v>
      </c>
      <c r="AI43" s="3" t="s">
        <v>494</v>
      </c>
      <c r="AJ43" s="8" t="s">
        <v>565</v>
      </c>
      <c r="AK43" s="8" t="s">
        <v>566</v>
      </c>
      <c r="AL43" s="71" t="s">
        <v>965</v>
      </c>
      <c r="AM43" s="72" t="s">
        <v>613</v>
      </c>
      <c r="AN43" s="3">
        <v>2</v>
      </c>
      <c r="AO43" s="3">
        <v>7</v>
      </c>
      <c r="AP43" s="3">
        <v>6</v>
      </c>
      <c r="AQ43" s="3" t="s">
        <v>641</v>
      </c>
      <c r="AR43" s="3">
        <v>6</v>
      </c>
      <c r="AS43" s="99" t="s">
        <v>658</v>
      </c>
    </row>
    <row r="44" spans="1:45" ht="46.5" x14ac:dyDescent="0.35">
      <c r="A44" s="67" t="s">
        <v>46</v>
      </c>
      <c r="B44" s="3" t="s">
        <v>138</v>
      </c>
      <c r="C44" s="95" t="s">
        <v>1022</v>
      </c>
      <c r="D44" s="86" t="s">
        <v>159</v>
      </c>
      <c r="E44" s="3" t="s">
        <v>189</v>
      </c>
      <c r="F44" s="3" t="s">
        <v>201</v>
      </c>
      <c r="G44" s="87" t="s">
        <v>246</v>
      </c>
      <c r="H44" s="3" t="s">
        <v>270</v>
      </c>
      <c r="I44" s="3">
        <v>1.2</v>
      </c>
      <c r="J44" s="8">
        <v>0.44</v>
      </c>
      <c r="K44" s="3" t="s">
        <v>275</v>
      </c>
      <c r="L44" s="3" t="s">
        <v>288</v>
      </c>
      <c r="M44" s="3">
        <v>2013</v>
      </c>
      <c r="N44" s="3" t="s">
        <v>294</v>
      </c>
      <c r="O44" s="98">
        <v>2</v>
      </c>
      <c r="P44" s="3">
        <v>0.25</v>
      </c>
      <c r="Q44" s="3">
        <v>0.5</v>
      </c>
      <c r="R44" s="3">
        <v>4</v>
      </c>
      <c r="S44" s="3" t="s">
        <v>338</v>
      </c>
      <c r="T44" s="8" t="s">
        <v>367</v>
      </c>
      <c r="U44" s="8" t="s">
        <v>331</v>
      </c>
      <c r="V44" s="3" t="s">
        <v>326</v>
      </c>
      <c r="W44" s="3" t="s">
        <v>368</v>
      </c>
      <c r="X44" s="3" t="s">
        <v>387</v>
      </c>
      <c r="Y44" s="8" t="s">
        <v>408</v>
      </c>
      <c r="Z44" s="8" t="s">
        <v>701</v>
      </c>
      <c r="AA44" s="8" t="s">
        <v>394</v>
      </c>
      <c r="AB44" s="69" t="s">
        <v>719</v>
      </c>
      <c r="AC44" s="3" t="s">
        <v>736</v>
      </c>
      <c r="AD44" s="3" t="s">
        <v>449</v>
      </c>
      <c r="AE44" s="3" t="s">
        <v>461</v>
      </c>
      <c r="AF44" s="3" t="s">
        <v>275</v>
      </c>
      <c r="AG44" s="70" t="s">
        <v>482</v>
      </c>
      <c r="AH44" s="8" t="s">
        <v>497</v>
      </c>
      <c r="AI44" s="3" t="s">
        <v>502</v>
      </c>
      <c r="AJ44" s="8" t="s">
        <v>567</v>
      </c>
      <c r="AK44" s="8" t="s">
        <v>568</v>
      </c>
      <c r="AL44" s="71" t="s">
        <v>973</v>
      </c>
      <c r="AM44" s="72" t="s">
        <v>613</v>
      </c>
      <c r="AN44" s="3">
        <v>4</v>
      </c>
      <c r="AO44" s="3">
        <v>16</v>
      </c>
      <c r="AP44" s="3">
        <v>12</v>
      </c>
      <c r="AQ44" s="3" t="s">
        <v>659</v>
      </c>
      <c r="AR44" s="3">
        <v>12</v>
      </c>
      <c r="AS44" s="99" t="s">
        <v>658</v>
      </c>
    </row>
    <row r="45" spans="1:45" ht="62" x14ac:dyDescent="0.35">
      <c r="A45" s="67" t="s">
        <v>47</v>
      </c>
      <c r="B45" s="3" t="s">
        <v>139</v>
      </c>
      <c r="C45" s="95" t="s">
        <v>1023</v>
      </c>
      <c r="D45" s="86" t="s">
        <v>172</v>
      </c>
      <c r="E45" s="3" t="s">
        <v>185</v>
      </c>
      <c r="F45" s="3" t="s">
        <v>190</v>
      </c>
      <c r="G45" s="87" t="s">
        <v>247</v>
      </c>
      <c r="H45" s="3" t="s">
        <v>269</v>
      </c>
      <c r="I45" s="3" t="s">
        <v>275</v>
      </c>
      <c r="J45" s="8" t="s">
        <v>275</v>
      </c>
      <c r="K45" s="3" t="s">
        <v>275</v>
      </c>
      <c r="L45" s="3" t="s">
        <v>291</v>
      </c>
      <c r="M45" s="3" t="s">
        <v>314</v>
      </c>
      <c r="N45" s="3" t="s">
        <v>289</v>
      </c>
      <c r="O45" s="98">
        <v>6</v>
      </c>
      <c r="P45" s="3">
        <v>1</v>
      </c>
      <c r="Q45" s="3">
        <v>6</v>
      </c>
      <c r="R45" s="3">
        <v>12</v>
      </c>
      <c r="S45" s="3" t="s">
        <v>338</v>
      </c>
      <c r="T45" s="8" t="s">
        <v>324</v>
      </c>
      <c r="U45" s="8" t="s">
        <v>331</v>
      </c>
      <c r="V45" s="3" t="s">
        <v>332</v>
      </c>
      <c r="W45" s="3" t="s">
        <v>333</v>
      </c>
      <c r="X45" s="3" t="s">
        <v>387</v>
      </c>
      <c r="Y45" s="8" t="s">
        <v>388</v>
      </c>
      <c r="Z45" s="8" t="s">
        <v>702</v>
      </c>
      <c r="AA45" s="8" t="s">
        <v>389</v>
      </c>
      <c r="AB45" s="69" t="s">
        <v>708</v>
      </c>
      <c r="AC45" s="3" t="s">
        <v>734</v>
      </c>
      <c r="AD45" s="3" t="s">
        <v>444</v>
      </c>
      <c r="AE45" s="3" t="s">
        <v>462</v>
      </c>
      <c r="AF45" s="3" t="s">
        <v>463</v>
      </c>
      <c r="AG45" s="70" t="s">
        <v>484</v>
      </c>
      <c r="AH45" s="8" t="s">
        <v>275</v>
      </c>
      <c r="AI45" s="3" t="s">
        <v>275</v>
      </c>
      <c r="AJ45" s="8" t="s">
        <v>275</v>
      </c>
      <c r="AK45" s="8" t="s">
        <v>275</v>
      </c>
      <c r="AL45" s="71" t="s">
        <v>275</v>
      </c>
      <c r="AM45" s="72" t="s">
        <v>275</v>
      </c>
      <c r="AN45" s="3" t="s">
        <v>275</v>
      </c>
      <c r="AO45" s="3" t="s">
        <v>275</v>
      </c>
      <c r="AP45" s="3" t="s">
        <v>275</v>
      </c>
      <c r="AQ45" s="3" t="s">
        <v>275</v>
      </c>
      <c r="AR45" s="3" t="s">
        <v>275</v>
      </c>
      <c r="AS45" s="99" t="s">
        <v>275</v>
      </c>
    </row>
    <row r="46" spans="1:45" ht="62" x14ac:dyDescent="0.35">
      <c r="A46" s="67" t="s">
        <v>48</v>
      </c>
      <c r="B46" s="3" t="s">
        <v>140</v>
      </c>
      <c r="C46" s="95" t="s">
        <v>1024</v>
      </c>
      <c r="D46" s="86" t="s">
        <v>164</v>
      </c>
      <c r="E46" s="3" t="s">
        <v>185</v>
      </c>
      <c r="F46" s="3" t="s">
        <v>206</v>
      </c>
      <c r="G46" s="87" t="s">
        <v>248</v>
      </c>
      <c r="H46" s="3" t="s">
        <v>268</v>
      </c>
      <c r="I46" s="3">
        <v>2850</v>
      </c>
      <c r="J46" s="8">
        <v>1716</v>
      </c>
      <c r="K46" s="3" t="s">
        <v>275</v>
      </c>
      <c r="L46" s="3" t="s">
        <v>291</v>
      </c>
      <c r="M46" s="3">
        <v>2019</v>
      </c>
      <c r="N46" s="3" t="s">
        <v>283</v>
      </c>
      <c r="O46" s="98">
        <v>2</v>
      </c>
      <c r="P46" s="3">
        <v>28.7</v>
      </c>
      <c r="Q46" s="3">
        <v>57</v>
      </c>
      <c r="R46" s="3">
        <v>47</v>
      </c>
      <c r="S46" s="3" t="s">
        <v>334</v>
      </c>
      <c r="T46" s="8" t="s">
        <v>355</v>
      </c>
      <c r="U46" s="8" t="s">
        <v>331</v>
      </c>
      <c r="V46" s="3" t="s">
        <v>340</v>
      </c>
      <c r="W46" s="3" t="s">
        <v>333</v>
      </c>
      <c r="X46" s="3" t="s">
        <v>390</v>
      </c>
      <c r="Y46" s="8" t="s">
        <v>391</v>
      </c>
      <c r="Z46" s="8" t="s">
        <v>275</v>
      </c>
      <c r="AA46" s="8" t="s">
        <v>389</v>
      </c>
      <c r="AB46" s="69" t="s">
        <v>708</v>
      </c>
      <c r="AC46" s="3" t="s">
        <v>737</v>
      </c>
      <c r="AD46" s="3" t="s">
        <v>464</v>
      </c>
      <c r="AE46" s="3" t="s">
        <v>422</v>
      </c>
      <c r="AF46" s="3">
        <v>100</v>
      </c>
      <c r="AG46" s="70" t="s">
        <v>482</v>
      </c>
      <c r="AH46" s="8" t="s">
        <v>497</v>
      </c>
      <c r="AI46" s="3" t="s">
        <v>569</v>
      </c>
      <c r="AJ46" s="8" t="s">
        <v>507</v>
      </c>
      <c r="AK46" s="8" t="s">
        <v>570</v>
      </c>
      <c r="AL46" s="71" t="s">
        <v>974</v>
      </c>
      <c r="AM46" s="72" t="s">
        <v>613</v>
      </c>
      <c r="AN46" s="3">
        <v>18</v>
      </c>
      <c r="AO46" s="3">
        <v>29.7</v>
      </c>
      <c r="AP46" s="3">
        <v>21.6</v>
      </c>
      <c r="AQ46" s="3" t="s">
        <v>660</v>
      </c>
      <c r="AR46" s="3">
        <v>40</v>
      </c>
      <c r="AS46" s="99" t="s">
        <v>611</v>
      </c>
    </row>
    <row r="47" spans="1:45" ht="77.5" x14ac:dyDescent="0.35">
      <c r="A47" s="67" t="s">
        <v>49</v>
      </c>
      <c r="B47" s="3" t="s">
        <v>140</v>
      </c>
      <c r="C47" s="95" t="s">
        <v>1025</v>
      </c>
      <c r="D47" s="86" t="s">
        <v>176</v>
      </c>
      <c r="E47" s="3" t="s">
        <v>185</v>
      </c>
      <c r="F47" s="3" t="s">
        <v>207</v>
      </c>
      <c r="G47" s="87" t="s">
        <v>249</v>
      </c>
      <c r="H47" s="3" t="s">
        <v>269</v>
      </c>
      <c r="I47" s="3">
        <v>524</v>
      </c>
      <c r="J47" s="8">
        <v>436</v>
      </c>
      <c r="K47" s="3">
        <v>130</v>
      </c>
      <c r="L47" s="3" t="s">
        <v>291</v>
      </c>
      <c r="M47" s="3">
        <v>2016</v>
      </c>
      <c r="N47" s="3" t="s">
        <v>283</v>
      </c>
      <c r="O47" s="98">
        <v>2</v>
      </c>
      <c r="P47" s="3">
        <v>30</v>
      </c>
      <c r="Q47" s="3">
        <v>60</v>
      </c>
      <c r="R47" s="3">
        <v>59</v>
      </c>
      <c r="S47" s="3" t="s">
        <v>369</v>
      </c>
      <c r="T47" s="8" t="s">
        <v>355</v>
      </c>
      <c r="U47" s="8" t="s">
        <v>331</v>
      </c>
      <c r="V47" s="3" t="s">
        <v>340</v>
      </c>
      <c r="W47" s="3" t="s">
        <v>333</v>
      </c>
      <c r="X47" s="3" t="s">
        <v>390</v>
      </c>
      <c r="Y47" s="8" t="s">
        <v>391</v>
      </c>
      <c r="Z47" s="8" t="s">
        <v>275</v>
      </c>
      <c r="AA47" s="8" t="s">
        <v>389</v>
      </c>
      <c r="AB47" s="69" t="s">
        <v>708</v>
      </c>
      <c r="AC47" s="3" t="s">
        <v>737</v>
      </c>
      <c r="AD47" s="3" t="s">
        <v>419</v>
      </c>
      <c r="AE47" s="3" t="s">
        <v>422</v>
      </c>
      <c r="AF47" s="3">
        <v>100</v>
      </c>
      <c r="AG47" s="70" t="s">
        <v>482</v>
      </c>
      <c r="AH47" s="8" t="s">
        <v>497</v>
      </c>
      <c r="AI47" s="3" t="s">
        <v>569</v>
      </c>
      <c r="AJ47" s="8" t="s">
        <v>507</v>
      </c>
      <c r="AK47" s="8" t="s">
        <v>571</v>
      </c>
      <c r="AL47" s="71" t="s">
        <v>975</v>
      </c>
      <c r="AM47" s="72" t="s">
        <v>613</v>
      </c>
      <c r="AN47" s="3">
        <v>16</v>
      </c>
      <c r="AO47" s="3" t="s">
        <v>661</v>
      </c>
      <c r="AP47" s="3" t="s">
        <v>662</v>
      </c>
      <c r="AQ47" s="3" t="s">
        <v>663</v>
      </c>
      <c r="AR47" s="3" t="s">
        <v>664</v>
      </c>
      <c r="AS47" s="99" t="s">
        <v>611</v>
      </c>
    </row>
    <row r="48" spans="1:45" ht="62" x14ac:dyDescent="0.35">
      <c r="A48" s="67" t="s">
        <v>50</v>
      </c>
      <c r="B48" s="3" t="s">
        <v>150</v>
      </c>
      <c r="C48" s="95" t="s">
        <v>1026</v>
      </c>
      <c r="D48" s="86" t="s">
        <v>180</v>
      </c>
      <c r="E48" s="3" t="s">
        <v>186</v>
      </c>
      <c r="F48" s="3" t="s">
        <v>211</v>
      </c>
      <c r="G48" s="87" t="s">
        <v>261</v>
      </c>
      <c r="H48" s="3" t="s">
        <v>270</v>
      </c>
      <c r="I48" s="3" t="s">
        <v>275</v>
      </c>
      <c r="J48" s="8" t="s">
        <v>275</v>
      </c>
      <c r="K48" s="3" t="s">
        <v>275</v>
      </c>
      <c r="L48" s="3" t="s">
        <v>291</v>
      </c>
      <c r="M48" s="3">
        <v>2017</v>
      </c>
      <c r="N48" s="3" t="s">
        <v>294</v>
      </c>
      <c r="O48" s="98" t="s">
        <v>377</v>
      </c>
      <c r="P48" s="3" t="s">
        <v>378</v>
      </c>
      <c r="Q48" s="3" t="s">
        <v>379</v>
      </c>
      <c r="R48" s="3">
        <v>11</v>
      </c>
      <c r="S48" s="3" t="s">
        <v>338</v>
      </c>
      <c r="T48" s="8" t="s">
        <v>324</v>
      </c>
      <c r="U48" s="8" t="s">
        <v>331</v>
      </c>
      <c r="V48" s="3" t="s">
        <v>326</v>
      </c>
      <c r="W48" s="3" t="s">
        <v>342</v>
      </c>
      <c r="X48" s="3" t="s">
        <v>387</v>
      </c>
      <c r="Y48" s="8" t="s">
        <v>393</v>
      </c>
      <c r="Z48" s="8" t="s">
        <v>706</v>
      </c>
      <c r="AA48" s="8" t="s">
        <v>397</v>
      </c>
      <c r="AB48" s="69" t="s">
        <v>726</v>
      </c>
      <c r="AC48" s="3" t="s">
        <v>744</v>
      </c>
      <c r="AD48" s="3" t="s">
        <v>419</v>
      </c>
      <c r="AE48" s="3" t="s">
        <v>477</v>
      </c>
      <c r="AF48" s="3" t="s">
        <v>275</v>
      </c>
      <c r="AG48" s="70" t="s">
        <v>482</v>
      </c>
      <c r="AH48" s="8" t="s">
        <v>588</v>
      </c>
      <c r="AI48" s="3" t="s">
        <v>589</v>
      </c>
      <c r="AJ48" s="8" t="s">
        <v>590</v>
      </c>
      <c r="AK48" s="8" t="s">
        <v>275</v>
      </c>
      <c r="AL48" s="71" t="s">
        <v>275</v>
      </c>
      <c r="AM48" s="72" t="s">
        <v>678</v>
      </c>
      <c r="AN48" s="3">
        <v>11</v>
      </c>
      <c r="AO48" s="3">
        <v>33</v>
      </c>
      <c r="AP48" s="3" t="s">
        <v>679</v>
      </c>
      <c r="AQ48" s="3" t="s">
        <v>621</v>
      </c>
      <c r="AR48" s="3">
        <v>15</v>
      </c>
      <c r="AS48" s="99" t="s">
        <v>658</v>
      </c>
    </row>
    <row r="49" spans="1:45" ht="46.5" x14ac:dyDescent="0.35">
      <c r="A49" s="67" t="s">
        <v>51</v>
      </c>
      <c r="B49" s="3" t="s">
        <v>141</v>
      </c>
      <c r="C49" s="95" t="s">
        <v>1027</v>
      </c>
      <c r="D49" s="86" t="s">
        <v>177</v>
      </c>
      <c r="E49" s="3" t="s">
        <v>189</v>
      </c>
      <c r="F49" s="3" t="s">
        <v>201</v>
      </c>
      <c r="G49" s="87" t="s">
        <v>250</v>
      </c>
      <c r="H49" s="3" t="s">
        <v>270</v>
      </c>
      <c r="I49" s="3">
        <v>10</v>
      </c>
      <c r="J49" s="8" t="s">
        <v>275</v>
      </c>
      <c r="K49" s="3">
        <v>0.5</v>
      </c>
      <c r="L49" s="3" t="s">
        <v>290</v>
      </c>
      <c r="M49" s="3" t="s">
        <v>315</v>
      </c>
      <c r="N49" s="3" t="s">
        <v>283</v>
      </c>
      <c r="O49" s="100" t="s">
        <v>359</v>
      </c>
      <c r="P49" s="3" t="s">
        <v>370</v>
      </c>
      <c r="Q49" s="3" t="s">
        <v>370</v>
      </c>
      <c r="R49" s="3">
        <v>30</v>
      </c>
      <c r="S49" s="3" t="s">
        <v>338</v>
      </c>
      <c r="T49" s="8" t="s">
        <v>355</v>
      </c>
      <c r="U49" s="8" t="s">
        <v>325</v>
      </c>
      <c r="V49" s="3" t="s">
        <v>332</v>
      </c>
      <c r="W49" s="3" t="s">
        <v>333</v>
      </c>
      <c r="X49" s="3" t="s">
        <v>390</v>
      </c>
      <c r="Y49" s="8" t="s">
        <v>391</v>
      </c>
      <c r="Z49" s="8" t="s">
        <v>692</v>
      </c>
      <c r="AA49" s="8" t="s">
        <v>389</v>
      </c>
      <c r="AB49" s="69" t="s">
        <v>720</v>
      </c>
      <c r="AC49" s="3" t="s">
        <v>730</v>
      </c>
      <c r="AD49" s="3" t="s">
        <v>444</v>
      </c>
      <c r="AE49" s="3" t="s">
        <v>465</v>
      </c>
      <c r="AF49" s="3" t="s">
        <v>275</v>
      </c>
      <c r="AG49" s="70" t="s">
        <v>484</v>
      </c>
      <c r="AH49" s="8" t="s">
        <v>275</v>
      </c>
      <c r="AI49" s="3" t="s">
        <v>275</v>
      </c>
      <c r="AJ49" s="8" t="s">
        <v>275</v>
      </c>
      <c r="AK49" s="8" t="s">
        <v>275</v>
      </c>
      <c r="AL49" s="71" t="s">
        <v>976</v>
      </c>
      <c r="AM49" s="72" t="s">
        <v>613</v>
      </c>
      <c r="AN49" s="3" t="s">
        <v>275</v>
      </c>
      <c r="AO49" s="3" t="s">
        <v>275</v>
      </c>
      <c r="AP49" s="3" t="s">
        <v>275</v>
      </c>
      <c r="AQ49" s="3" t="s">
        <v>275</v>
      </c>
      <c r="AR49" s="3" t="s">
        <v>275</v>
      </c>
      <c r="AS49" s="99" t="s">
        <v>275</v>
      </c>
    </row>
    <row r="50" spans="1:45" ht="46.5" x14ac:dyDescent="0.35">
      <c r="A50" s="67" t="s">
        <v>52</v>
      </c>
      <c r="B50" s="3" t="s">
        <v>142</v>
      </c>
      <c r="C50" s="95" t="s">
        <v>1028</v>
      </c>
      <c r="D50" s="86" t="s">
        <v>160</v>
      </c>
      <c r="E50" s="3" t="s">
        <v>185</v>
      </c>
      <c r="F50" s="3" t="s">
        <v>208</v>
      </c>
      <c r="G50" s="87" t="s">
        <v>251</v>
      </c>
      <c r="H50" s="3" t="s">
        <v>270</v>
      </c>
      <c r="I50" s="3">
        <v>1.1000000000000001</v>
      </c>
      <c r="J50" s="8">
        <v>1.98</v>
      </c>
      <c r="K50" s="3">
        <v>1.1000000000000001</v>
      </c>
      <c r="L50" s="3" t="s">
        <v>290</v>
      </c>
      <c r="M50" s="3">
        <v>2017</v>
      </c>
      <c r="N50" s="3" t="s">
        <v>283</v>
      </c>
      <c r="O50" s="98">
        <v>1</v>
      </c>
      <c r="P50" s="3">
        <v>2</v>
      </c>
      <c r="Q50" s="3">
        <v>2</v>
      </c>
      <c r="R50" s="3">
        <v>2</v>
      </c>
      <c r="S50" s="3" t="s">
        <v>369</v>
      </c>
      <c r="T50" s="8" t="s">
        <v>356</v>
      </c>
      <c r="U50" s="8" t="s">
        <v>325</v>
      </c>
      <c r="V50" s="3" t="s">
        <v>326</v>
      </c>
      <c r="W50" s="3" t="s">
        <v>371</v>
      </c>
      <c r="X50" s="3" t="s">
        <v>387</v>
      </c>
      <c r="Y50" s="8" t="s">
        <v>393</v>
      </c>
      <c r="Z50" s="8" t="s">
        <v>703</v>
      </c>
      <c r="AA50" s="8" t="s">
        <v>394</v>
      </c>
      <c r="AB50" s="69" t="s">
        <v>709</v>
      </c>
      <c r="AC50" s="3" t="s">
        <v>742</v>
      </c>
      <c r="AD50" s="3" t="s">
        <v>417</v>
      </c>
      <c r="AE50" s="3" t="s">
        <v>466</v>
      </c>
      <c r="AF50" s="3" t="s">
        <v>467</v>
      </c>
      <c r="AG50" s="70" t="s">
        <v>484</v>
      </c>
      <c r="AH50" s="8" t="s">
        <v>275</v>
      </c>
      <c r="AI50" s="3" t="s">
        <v>275</v>
      </c>
      <c r="AJ50" s="8" t="s">
        <v>275</v>
      </c>
      <c r="AK50" s="8" t="s">
        <v>275</v>
      </c>
      <c r="AL50" s="71" t="s">
        <v>275</v>
      </c>
      <c r="AM50" s="72" t="s">
        <v>275</v>
      </c>
      <c r="AN50" s="3" t="s">
        <v>275</v>
      </c>
      <c r="AO50" s="3" t="s">
        <v>275</v>
      </c>
      <c r="AP50" s="3" t="s">
        <v>275</v>
      </c>
      <c r="AQ50" s="3" t="s">
        <v>275</v>
      </c>
      <c r="AR50" s="3" t="s">
        <v>275</v>
      </c>
      <c r="AS50" s="99" t="s">
        <v>275</v>
      </c>
    </row>
    <row r="51" spans="1:45" ht="46.5" x14ac:dyDescent="0.35">
      <c r="A51" s="67" t="s">
        <v>53</v>
      </c>
      <c r="B51" s="3" t="s">
        <v>142</v>
      </c>
      <c r="C51" s="95" t="s">
        <v>1029</v>
      </c>
      <c r="D51" s="86" t="s">
        <v>156</v>
      </c>
      <c r="E51" s="3" t="s">
        <v>185</v>
      </c>
      <c r="F51" s="3" t="s">
        <v>208</v>
      </c>
      <c r="G51" s="87" t="s">
        <v>252</v>
      </c>
      <c r="H51" s="3" t="s">
        <v>270</v>
      </c>
      <c r="I51" s="3">
        <v>1.3</v>
      </c>
      <c r="J51" s="8" t="s">
        <v>911</v>
      </c>
      <c r="K51" s="3">
        <v>1.3</v>
      </c>
      <c r="L51" s="3" t="s">
        <v>281</v>
      </c>
      <c r="M51" s="3" t="s">
        <v>311</v>
      </c>
      <c r="N51" s="3" t="s">
        <v>283</v>
      </c>
      <c r="O51" s="98">
        <v>1</v>
      </c>
      <c r="P51" s="3">
        <v>2</v>
      </c>
      <c r="Q51" s="3">
        <v>2</v>
      </c>
      <c r="R51" s="3">
        <v>13</v>
      </c>
      <c r="S51" s="3" t="s">
        <v>338</v>
      </c>
      <c r="T51" s="8" t="s">
        <v>356</v>
      </c>
      <c r="U51" s="8" t="s">
        <v>325</v>
      </c>
      <c r="V51" s="3" t="s">
        <v>332</v>
      </c>
      <c r="W51" s="3" t="s">
        <v>333</v>
      </c>
      <c r="X51" s="3" t="s">
        <v>387</v>
      </c>
      <c r="Y51" s="8" t="s">
        <v>393</v>
      </c>
      <c r="Z51" s="8" t="s">
        <v>275</v>
      </c>
      <c r="AA51" s="8" t="s">
        <v>394</v>
      </c>
      <c r="AB51" s="69" t="s">
        <v>717</v>
      </c>
      <c r="AC51" s="3" t="s">
        <v>742</v>
      </c>
      <c r="AD51" s="3" t="s">
        <v>468</v>
      </c>
      <c r="AE51" s="3" t="s">
        <v>425</v>
      </c>
      <c r="AF51" s="3" t="s">
        <v>469</v>
      </c>
      <c r="AG51" s="70" t="s">
        <v>484</v>
      </c>
      <c r="AH51" s="8" t="s">
        <v>275</v>
      </c>
      <c r="AI51" s="3" t="s">
        <v>275</v>
      </c>
      <c r="AJ51" s="8" t="s">
        <v>275</v>
      </c>
      <c r="AK51" s="8" t="s">
        <v>275</v>
      </c>
      <c r="AL51" s="71" t="s">
        <v>275</v>
      </c>
      <c r="AM51" s="72" t="s">
        <v>275</v>
      </c>
      <c r="AN51" s="3" t="s">
        <v>275</v>
      </c>
      <c r="AO51" s="3" t="s">
        <v>275</v>
      </c>
      <c r="AP51" s="3" t="s">
        <v>275</v>
      </c>
      <c r="AQ51" s="3" t="s">
        <v>275</v>
      </c>
      <c r="AR51" s="3" t="s">
        <v>275</v>
      </c>
      <c r="AS51" s="99" t="s">
        <v>275</v>
      </c>
    </row>
    <row r="52" spans="1:45" ht="58" x14ac:dyDescent="0.35">
      <c r="A52" s="67" t="s">
        <v>54</v>
      </c>
      <c r="B52" s="3" t="s">
        <v>925</v>
      </c>
      <c r="C52" s="95" t="s">
        <v>1030</v>
      </c>
      <c r="D52" s="86" t="s">
        <v>161</v>
      </c>
      <c r="E52" s="3" t="s">
        <v>189</v>
      </c>
      <c r="F52" s="3" t="s">
        <v>201</v>
      </c>
      <c r="G52" s="87" t="s">
        <v>253</v>
      </c>
      <c r="H52" s="3" t="s">
        <v>270</v>
      </c>
      <c r="I52" s="3" t="s">
        <v>280</v>
      </c>
      <c r="J52" s="8" t="s">
        <v>912</v>
      </c>
      <c r="K52" s="3">
        <v>1.5</v>
      </c>
      <c r="L52" s="3" t="s">
        <v>308</v>
      </c>
      <c r="M52" s="3">
        <v>2016</v>
      </c>
      <c r="N52" s="3" t="s">
        <v>283</v>
      </c>
      <c r="O52" s="98">
        <v>3</v>
      </c>
      <c r="P52" s="3">
        <v>1</v>
      </c>
      <c r="Q52" s="3">
        <v>3</v>
      </c>
      <c r="R52" s="3">
        <v>4</v>
      </c>
      <c r="S52" s="3" t="s">
        <v>338</v>
      </c>
      <c r="T52" s="8" t="s">
        <v>355</v>
      </c>
      <c r="U52" s="8" t="s">
        <v>325</v>
      </c>
      <c r="V52" s="3" t="s">
        <v>332</v>
      </c>
      <c r="W52" s="3" t="s">
        <v>333</v>
      </c>
      <c r="X52" s="3" t="s">
        <v>387</v>
      </c>
      <c r="Y52" s="8" t="s">
        <v>388</v>
      </c>
      <c r="Z52" s="8" t="s">
        <v>275</v>
      </c>
      <c r="AA52" s="8" t="s">
        <v>389</v>
      </c>
      <c r="AB52" s="69" t="s">
        <v>721</v>
      </c>
      <c r="AC52" s="3" t="s">
        <v>729</v>
      </c>
      <c r="AD52" s="3" t="s">
        <v>470</v>
      </c>
      <c r="AE52" s="3" t="s">
        <v>471</v>
      </c>
      <c r="AF52" s="3">
        <v>70</v>
      </c>
      <c r="AG52" s="70" t="s">
        <v>484</v>
      </c>
      <c r="AH52" s="8" t="s">
        <v>275</v>
      </c>
      <c r="AI52" s="3" t="s">
        <v>275</v>
      </c>
      <c r="AJ52" s="8" t="s">
        <v>275</v>
      </c>
      <c r="AK52" s="8" t="s">
        <v>275</v>
      </c>
      <c r="AL52" s="71" t="s">
        <v>977</v>
      </c>
      <c r="AM52" s="72" t="s">
        <v>275</v>
      </c>
      <c r="AN52" s="3" t="s">
        <v>275</v>
      </c>
      <c r="AO52" s="3" t="s">
        <v>275</v>
      </c>
      <c r="AP52" s="3" t="s">
        <v>275</v>
      </c>
      <c r="AQ52" s="3" t="s">
        <v>275</v>
      </c>
      <c r="AR52" s="3" t="s">
        <v>275</v>
      </c>
      <c r="AS52" s="99" t="s">
        <v>275</v>
      </c>
    </row>
    <row r="53" spans="1:45" ht="217" x14ac:dyDescent="0.35">
      <c r="A53" s="67" t="s">
        <v>55</v>
      </c>
      <c r="B53" s="3" t="s">
        <v>845</v>
      </c>
      <c r="C53" s="95" t="s">
        <v>1031</v>
      </c>
      <c r="D53" s="86" t="s">
        <v>156</v>
      </c>
      <c r="E53" s="3" t="s">
        <v>185</v>
      </c>
      <c r="F53" s="3" t="s">
        <v>846</v>
      </c>
      <c r="G53" s="87" t="s">
        <v>847</v>
      </c>
      <c r="H53" s="3" t="s">
        <v>270</v>
      </c>
      <c r="I53" s="101" t="s">
        <v>275</v>
      </c>
      <c r="J53" s="101" t="s">
        <v>913</v>
      </c>
      <c r="K53" s="3" t="s">
        <v>275</v>
      </c>
      <c r="L53" s="3" t="s">
        <v>291</v>
      </c>
      <c r="M53" s="3">
        <v>2024</v>
      </c>
      <c r="N53" s="3" t="s">
        <v>294</v>
      </c>
      <c r="O53" s="98">
        <v>2</v>
      </c>
      <c r="P53" s="101" t="s">
        <v>848</v>
      </c>
      <c r="Q53" s="101" t="s">
        <v>849</v>
      </c>
      <c r="R53" s="3">
        <v>20</v>
      </c>
      <c r="S53" s="3" t="s">
        <v>338</v>
      </c>
      <c r="T53" s="8" t="s">
        <v>367</v>
      </c>
      <c r="U53" s="8" t="s">
        <v>331</v>
      </c>
      <c r="V53" s="3" t="s">
        <v>332</v>
      </c>
      <c r="W53" s="3" t="s">
        <v>333</v>
      </c>
      <c r="X53" s="3" t="s">
        <v>387</v>
      </c>
      <c r="Y53" s="8" t="s">
        <v>391</v>
      </c>
      <c r="Z53" s="8" t="s">
        <v>275</v>
      </c>
      <c r="AA53" s="8" t="s">
        <v>392</v>
      </c>
      <c r="AB53" s="69" t="s">
        <v>850</v>
      </c>
      <c r="AC53" s="3" t="s">
        <v>729</v>
      </c>
      <c r="AD53" s="3" t="s">
        <v>419</v>
      </c>
      <c r="AE53" s="3" t="s">
        <v>770</v>
      </c>
      <c r="AF53" s="3" t="s">
        <v>851</v>
      </c>
      <c r="AG53" s="70" t="s">
        <v>482</v>
      </c>
      <c r="AH53" s="8" t="s">
        <v>497</v>
      </c>
      <c r="AI53" s="3" t="s">
        <v>852</v>
      </c>
      <c r="AJ53" s="8" t="s">
        <v>853</v>
      </c>
      <c r="AK53" s="8" t="s">
        <v>854</v>
      </c>
      <c r="AL53" s="71" t="s">
        <v>958</v>
      </c>
      <c r="AM53" s="72" t="s">
        <v>855</v>
      </c>
      <c r="AN53" s="3" t="s">
        <v>275</v>
      </c>
      <c r="AO53" s="3" t="s">
        <v>275</v>
      </c>
      <c r="AP53" s="3" t="s">
        <v>275</v>
      </c>
      <c r="AQ53" s="3" t="s">
        <v>275</v>
      </c>
      <c r="AR53" s="3" t="s">
        <v>275</v>
      </c>
      <c r="AS53" s="99" t="s">
        <v>611</v>
      </c>
    </row>
    <row r="54" spans="1:45" ht="46.5" x14ac:dyDescent="0.35">
      <c r="A54" s="67" t="s">
        <v>56</v>
      </c>
      <c r="B54" s="3" t="s">
        <v>143</v>
      </c>
      <c r="C54" s="95" t="s">
        <v>1032</v>
      </c>
      <c r="D54" s="86" t="s">
        <v>164</v>
      </c>
      <c r="E54" s="3" t="s">
        <v>185</v>
      </c>
      <c r="F54" s="3" t="s">
        <v>209</v>
      </c>
      <c r="G54" s="87" t="s">
        <v>254</v>
      </c>
      <c r="H54" s="3" t="s">
        <v>270</v>
      </c>
      <c r="I54" s="3" t="s">
        <v>275</v>
      </c>
      <c r="J54" s="8" t="s">
        <v>275</v>
      </c>
      <c r="K54" s="3" t="s">
        <v>275</v>
      </c>
      <c r="L54" s="3" t="s">
        <v>281</v>
      </c>
      <c r="M54" s="3" t="s">
        <v>316</v>
      </c>
      <c r="N54" s="3" t="s">
        <v>294</v>
      </c>
      <c r="O54" s="98" t="s">
        <v>372</v>
      </c>
      <c r="P54" s="3" t="s">
        <v>373</v>
      </c>
      <c r="Q54" s="3">
        <v>100</v>
      </c>
      <c r="R54" s="3" t="s">
        <v>374</v>
      </c>
      <c r="S54" s="3" t="s">
        <v>338</v>
      </c>
      <c r="T54" s="8" t="s">
        <v>355</v>
      </c>
      <c r="U54" s="8" t="s">
        <v>331</v>
      </c>
      <c r="V54" s="3" t="s">
        <v>340</v>
      </c>
      <c r="W54" s="3" t="s">
        <v>333</v>
      </c>
      <c r="X54" s="3" t="s">
        <v>390</v>
      </c>
      <c r="Y54" s="8" t="s">
        <v>391</v>
      </c>
      <c r="Z54" s="8" t="s">
        <v>275</v>
      </c>
      <c r="AA54" s="8" t="s">
        <v>409</v>
      </c>
      <c r="AB54" s="69" t="s">
        <v>722</v>
      </c>
      <c r="AC54" s="3" t="s">
        <v>729</v>
      </c>
      <c r="AD54" s="3" t="s">
        <v>419</v>
      </c>
      <c r="AE54" s="3" t="s">
        <v>422</v>
      </c>
      <c r="AF54" s="3">
        <v>100</v>
      </c>
      <c r="AG54" s="70" t="s">
        <v>482</v>
      </c>
      <c r="AH54" s="8" t="s">
        <v>572</v>
      </c>
      <c r="AI54" s="3" t="s">
        <v>506</v>
      </c>
      <c r="AJ54" s="8" t="s">
        <v>507</v>
      </c>
      <c r="AK54" s="8" t="s">
        <v>573</v>
      </c>
      <c r="AL54" s="71" t="s">
        <v>978</v>
      </c>
      <c r="AM54" s="72" t="s">
        <v>665</v>
      </c>
      <c r="AN54" s="3">
        <v>5</v>
      </c>
      <c r="AO54" s="3" t="s">
        <v>666</v>
      </c>
      <c r="AP54" s="3" t="s">
        <v>667</v>
      </c>
      <c r="AQ54" s="3" t="s">
        <v>668</v>
      </c>
      <c r="AR54" s="3" t="s">
        <v>669</v>
      </c>
      <c r="AS54" s="99" t="s">
        <v>611</v>
      </c>
    </row>
    <row r="55" spans="1:45" ht="62" x14ac:dyDescent="0.35">
      <c r="A55" s="67" t="s">
        <v>57</v>
      </c>
      <c r="B55" s="3" t="s">
        <v>144</v>
      </c>
      <c r="C55" s="95" t="s">
        <v>1033</v>
      </c>
      <c r="D55" s="86" t="s">
        <v>178</v>
      </c>
      <c r="E55" s="3" t="s">
        <v>185</v>
      </c>
      <c r="F55" s="3" t="s">
        <v>210</v>
      </c>
      <c r="G55" s="87" t="s">
        <v>255</v>
      </c>
      <c r="H55" s="3" t="s">
        <v>270</v>
      </c>
      <c r="I55" s="3">
        <v>4</v>
      </c>
      <c r="J55" s="8" t="s">
        <v>317</v>
      </c>
      <c r="K55" s="3" t="s">
        <v>318</v>
      </c>
      <c r="L55" s="3" t="s">
        <v>291</v>
      </c>
      <c r="M55" s="3">
        <v>2018</v>
      </c>
      <c r="N55" s="3" t="s">
        <v>283</v>
      </c>
      <c r="O55" s="98">
        <v>3</v>
      </c>
      <c r="P55" s="3">
        <v>10</v>
      </c>
      <c r="Q55" s="3">
        <v>0.9</v>
      </c>
      <c r="R55" s="3">
        <v>8</v>
      </c>
      <c r="S55" s="3" t="s">
        <v>338</v>
      </c>
      <c r="T55" s="8" t="s">
        <v>339</v>
      </c>
      <c r="U55" s="8" t="s">
        <v>331</v>
      </c>
      <c r="V55" s="3" t="s">
        <v>332</v>
      </c>
      <c r="W55" s="3" t="s">
        <v>333</v>
      </c>
      <c r="X55" s="3" t="s">
        <v>390</v>
      </c>
      <c r="Y55" s="8" t="s">
        <v>410</v>
      </c>
      <c r="Z55" s="8" t="s">
        <v>275</v>
      </c>
      <c r="AA55" s="8" t="s">
        <v>389</v>
      </c>
      <c r="AB55" s="69" t="s">
        <v>709</v>
      </c>
      <c r="AC55" s="3" t="s">
        <v>729</v>
      </c>
      <c r="AD55" s="3" t="s">
        <v>419</v>
      </c>
      <c r="AE55" s="3" t="s">
        <v>472</v>
      </c>
      <c r="AF55" s="3">
        <v>142</v>
      </c>
      <c r="AG55" s="70" t="s">
        <v>482</v>
      </c>
      <c r="AH55" s="8" t="s">
        <v>574</v>
      </c>
      <c r="AI55" s="3" t="s">
        <v>575</v>
      </c>
      <c r="AJ55" s="8" t="s">
        <v>576</v>
      </c>
      <c r="AK55" s="8" t="s">
        <v>577</v>
      </c>
      <c r="AL55" s="71" t="s">
        <v>956</v>
      </c>
      <c r="AM55" s="72" t="s">
        <v>275</v>
      </c>
      <c r="AN55" s="3" t="s">
        <v>275</v>
      </c>
      <c r="AO55" s="3" t="s">
        <v>275</v>
      </c>
      <c r="AP55" s="3" t="s">
        <v>275</v>
      </c>
      <c r="AQ55" s="3" t="s">
        <v>275</v>
      </c>
      <c r="AR55" s="3" t="s">
        <v>275</v>
      </c>
      <c r="AS55" s="99" t="s">
        <v>275</v>
      </c>
    </row>
    <row r="56" spans="1:45" ht="58" x14ac:dyDescent="0.35">
      <c r="A56" s="67" t="s">
        <v>58</v>
      </c>
      <c r="B56" s="3" t="s">
        <v>145</v>
      </c>
      <c r="C56" s="95" t="s">
        <v>1034</v>
      </c>
      <c r="D56" s="86" t="s">
        <v>179</v>
      </c>
      <c r="E56" s="3" t="s">
        <v>186</v>
      </c>
      <c r="F56" s="3" t="s">
        <v>200</v>
      </c>
      <c r="G56" s="87" t="s">
        <v>256</v>
      </c>
      <c r="H56" s="3" t="s">
        <v>270</v>
      </c>
      <c r="I56" s="3" t="s">
        <v>275</v>
      </c>
      <c r="J56" s="8" t="s">
        <v>275</v>
      </c>
      <c r="K56" s="3" t="s">
        <v>275</v>
      </c>
      <c r="L56" s="3" t="s">
        <v>291</v>
      </c>
      <c r="M56" s="3">
        <v>2021</v>
      </c>
      <c r="N56" s="3" t="s">
        <v>294</v>
      </c>
      <c r="O56" s="98">
        <v>3</v>
      </c>
      <c r="P56" s="3">
        <v>3</v>
      </c>
      <c r="Q56" s="3">
        <v>3</v>
      </c>
      <c r="R56" s="3">
        <v>29</v>
      </c>
      <c r="S56" s="3" t="s">
        <v>338</v>
      </c>
      <c r="T56" s="8" t="s">
        <v>345</v>
      </c>
      <c r="U56" s="8" t="s">
        <v>331</v>
      </c>
      <c r="V56" s="3" t="s">
        <v>340</v>
      </c>
      <c r="W56" s="3" t="s">
        <v>333</v>
      </c>
      <c r="X56" s="3" t="s">
        <v>387</v>
      </c>
      <c r="Y56" s="8" t="s">
        <v>393</v>
      </c>
      <c r="Z56" s="8" t="s">
        <v>275</v>
      </c>
      <c r="AA56" s="8" t="s">
        <v>389</v>
      </c>
      <c r="AB56" s="69" t="s">
        <v>723</v>
      </c>
      <c r="AC56" s="3" t="s">
        <v>743</v>
      </c>
      <c r="AD56" s="3" t="s">
        <v>419</v>
      </c>
      <c r="AE56" s="3" t="s">
        <v>416</v>
      </c>
      <c r="AF56" s="3" t="s">
        <v>473</v>
      </c>
      <c r="AG56" s="70" t="s">
        <v>482</v>
      </c>
      <c r="AH56" s="8" t="s">
        <v>497</v>
      </c>
      <c r="AI56" s="3" t="s">
        <v>502</v>
      </c>
      <c r="AJ56" s="8" t="s">
        <v>578</v>
      </c>
      <c r="AK56" s="8" t="s">
        <v>579</v>
      </c>
      <c r="AL56" s="71" t="s">
        <v>950</v>
      </c>
      <c r="AM56" s="72" t="s">
        <v>613</v>
      </c>
      <c r="AN56" s="3">
        <v>29</v>
      </c>
      <c r="AO56" s="3">
        <v>34</v>
      </c>
      <c r="AP56" s="3">
        <v>22</v>
      </c>
      <c r="AQ56" s="3" t="s">
        <v>670</v>
      </c>
      <c r="AR56" s="3">
        <v>10</v>
      </c>
      <c r="AS56" s="99" t="s">
        <v>658</v>
      </c>
    </row>
    <row r="57" spans="1:45" ht="77.5" x14ac:dyDescent="0.35">
      <c r="A57" s="67" t="s">
        <v>59</v>
      </c>
      <c r="B57" s="3" t="s">
        <v>146</v>
      </c>
      <c r="C57" s="95" t="s">
        <v>1035</v>
      </c>
      <c r="D57" s="86" t="s">
        <v>161</v>
      </c>
      <c r="E57" s="3" t="s">
        <v>189</v>
      </c>
      <c r="F57" s="3" t="s">
        <v>201</v>
      </c>
      <c r="G57" s="87" t="s">
        <v>257</v>
      </c>
      <c r="H57" s="3" t="s">
        <v>270</v>
      </c>
      <c r="I57" s="3" t="s">
        <v>906</v>
      </c>
      <c r="J57" s="8" t="s">
        <v>319</v>
      </c>
      <c r="K57" s="3" t="s">
        <v>320</v>
      </c>
      <c r="L57" s="3" t="s">
        <v>287</v>
      </c>
      <c r="M57" s="3">
        <v>2016</v>
      </c>
      <c r="N57" s="3" t="s">
        <v>283</v>
      </c>
      <c r="O57" s="98">
        <v>2</v>
      </c>
      <c r="P57" s="3">
        <v>5</v>
      </c>
      <c r="Q57" s="3">
        <v>10</v>
      </c>
      <c r="R57" s="3">
        <v>49</v>
      </c>
      <c r="S57" s="3" t="s">
        <v>338</v>
      </c>
      <c r="T57" s="8" t="s">
        <v>355</v>
      </c>
      <c r="U57" s="8" t="s">
        <v>331</v>
      </c>
      <c r="V57" s="3" t="s">
        <v>332</v>
      </c>
      <c r="W57" s="3" t="s">
        <v>333</v>
      </c>
      <c r="X57" s="3" t="s">
        <v>387</v>
      </c>
      <c r="Y57" s="8" t="s">
        <v>393</v>
      </c>
      <c r="Z57" s="8" t="s">
        <v>275</v>
      </c>
      <c r="AA57" s="8" t="s">
        <v>404</v>
      </c>
      <c r="AB57" s="69" t="s">
        <v>724</v>
      </c>
      <c r="AC57" s="3" t="s">
        <v>729</v>
      </c>
      <c r="AD57" s="3" t="s">
        <v>474</v>
      </c>
      <c r="AE57" s="3" t="s">
        <v>425</v>
      </c>
      <c r="AF57" s="3" t="s">
        <v>275</v>
      </c>
      <c r="AG57" s="70" t="s">
        <v>484</v>
      </c>
      <c r="AH57" s="8" t="s">
        <v>275</v>
      </c>
      <c r="AI57" s="3" t="s">
        <v>275</v>
      </c>
      <c r="AJ57" s="8" t="s">
        <v>275</v>
      </c>
      <c r="AK57" s="8" t="s">
        <v>275</v>
      </c>
      <c r="AL57" s="71" t="s">
        <v>275</v>
      </c>
      <c r="AM57" s="72" t="s">
        <v>275</v>
      </c>
      <c r="AN57" s="3" t="s">
        <v>275</v>
      </c>
      <c r="AO57" s="3" t="s">
        <v>275</v>
      </c>
      <c r="AP57" s="3" t="s">
        <v>275</v>
      </c>
      <c r="AQ57" s="3" t="s">
        <v>275</v>
      </c>
      <c r="AR57" s="3" t="s">
        <v>275</v>
      </c>
      <c r="AS57" s="99" t="s">
        <v>275</v>
      </c>
    </row>
    <row r="58" spans="1:45" ht="62" x14ac:dyDescent="0.35">
      <c r="A58" s="67" t="s">
        <v>60</v>
      </c>
      <c r="B58" s="3" t="s">
        <v>147</v>
      </c>
      <c r="C58" s="95" t="s">
        <v>1036</v>
      </c>
      <c r="D58" s="86" t="s">
        <v>171</v>
      </c>
      <c r="E58" s="3" t="s">
        <v>186</v>
      </c>
      <c r="F58" s="3" t="s">
        <v>200</v>
      </c>
      <c r="G58" s="87" t="s">
        <v>258</v>
      </c>
      <c r="H58" s="3" t="s">
        <v>269</v>
      </c>
      <c r="I58" s="3">
        <v>1570</v>
      </c>
      <c r="J58" s="8" t="s">
        <v>275</v>
      </c>
      <c r="K58" s="3" t="s">
        <v>275</v>
      </c>
      <c r="L58" s="3" t="s">
        <v>287</v>
      </c>
      <c r="M58" s="3">
        <v>2023</v>
      </c>
      <c r="N58" s="3" t="s">
        <v>294</v>
      </c>
      <c r="O58" s="98">
        <v>3</v>
      </c>
      <c r="P58" s="3">
        <v>2</v>
      </c>
      <c r="Q58" s="3">
        <v>6</v>
      </c>
      <c r="R58" s="3">
        <v>3</v>
      </c>
      <c r="S58" s="3" t="s">
        <v>334</v>
      </c>
      <c r="T58" s="8" t="s">
        <v>339</v>
      </c>
      <c r="U58" s="8" t="s">
        <v>331</v>
      </c>
      <c r="V58" s="3" t="s">
        <v>332</v>
      </c>
      <c r="W58" s="3" t="s">
        <v>333</v>
      </c>
      <c r="X58" s="3" t="s">
        <v>387</v>
      </c>
      <c r="Y58" s="8" t="s">
        <v>403</v>
      </c>
      <c r="Z58" s="8" t="s">
        <v>275</v>
      </c>
      <c r="AA58" s="8" t="s">
        <v>389</v>
      </c>
      <c r="AB58" s="69" t="s">
        <v>725</v>
      </c>
      <c r="AC58" s="3" t="s">
        <v>730</v>
      </c>
      <c r="AD58" s="3" t="s">
        <v>419</v>
      </c>
      <c r="AE58" s="3" t="s">
        <v>454</v>
      </c>
      <c r="AF58" s="3" t="s">
        <v>275</v>
      </c>
      <c r="AG58" s="70" t="s">
        <v>482</v>
      </c>
      <c r="AH58" s="8" t="s">
        <v>580</v>
      </c>
      <c r="AI58" s="3" t="s">
        <v>502</v>
      </c>
      <c r="AJ58" s="8" t="s">
        <v>581</v>
      </c>
      <c r="AK58" s="8" t="s">
        <v>582</v>
      </c>
      <c r="AL58" s="71" t="s">
        <v>979</v>
      </c>
      <c r="AM58" s="72" t="s">
        <v>671</v>
      </c>
      <c r="AN58" s="3">
        <v>3</v>
      </c>
      <c r="AO58" s="3">
        <v>61</v>
      </c>
      <c r="AP58" s="3">
        <v>51</v>
      </c>
      <c r="AQ58" s="3" t="s">
        <v>672</v>
      </c>
      <c r="AR58" s="3" t="s">
        <v>673</v>
      </c>
      <c r="AS58" s="99" t="s">
        <v>611</v>
      </c>
    </row>
    <row r="59" spans="1:45" ht="46.5" x14ac:dyDescent="0.35">
      <c r="A59" s="67" t="s">
        <v>61</v>
      </c>
      <c r="B59" s="3" t="s">
        <v>148</v>
      </c>
      <c r="C59" s="95" t="s">
        <v>1037</v>
      </c>
      <c r="D59" s="86" t="s">
        <v>175</v>
      </c>
      <c r="E59" s="3" t="s">
        <v>186</v>
      </c>
      <c r="F59" s="3" t="s">
        <v>200</v>
      </c>
      <c r="G59" s="87" t="s">
        <v>259</v>
      </c>
      <c r="H59" s="3" t="s">
        <v>269</v>
      </c>
      <c r="I59" s="3">
        <v>206</v>
      </c>
      <c r="J59" s="8" t="s">
        <v>275</v>
      </c>
      <c r="K59" s="3" t="s">
        <v>275</v>
      </c>
      <c r="L59" s="3" t="s">
        <v>281</v>
      </c>
      <c r="M59" s="3">
        <v>2023</v>
      </c>
      <c r="N59" s="3" t="s">
        <v>283</v>
      </c>
      <c r="O59" s="98">
        <v>3</v>
      </c>
      <c r="P59" s="3">
        <v>5</v>
      </c>
      <c r="Q59" s="3">
        <v>15</v>
      </c>
      <c r="R59" s="3">
        <v>30</v>
      </c>
      <c r="S59" s="3" t="s">
        <v>338</v>
      </c>
      <c r="T59" s="8" t="s">
        <v>324</v>
      </c>
      <c r="U59" s="8" t="s">
        <v>331</v>
      </c>
      <c r="V59" s="3" t="s">
        <v>326</v>
      </c>
      <c r="W59" s="3" t="s">
        <v>375</v>
      </c>
      <c r="X59" s="3" t="s">
        <v>387</v>
      </c>
      <c r="Y59" s="8" t="s">
        <v>388</v>
      </c>
      <c r="Z59" s="8" t="s">
        <v>704</v>
      </c>
      <c r="AA59" s="8" t="s">
        <v>389</v>
      </c>
      <c r="AB59" s="69" t="s">
        <v>717</v>
      </c>
      <c r="AC59" s="3" t="s">
        <v>729</v>
      </c>
      <c r="AD59" s="3" t="s">
        <v>419</v>
      </c>
      <c r="AE59" s="3" t="s">
        <v>475</v>
      </c>
      <c r="AF59" s="3">
        <v>170</v>
      </c>
      <c r="AG59" s="70" t="s">
        <v>482</v>
      </c>
      <c r="AH59" s="8" t="s">
        <v>534</v>
      </c>
      <c r="AI59" s="3" t="s">
        <v>502</v>
      </c>
      <c r="AJ59" s="8" t="s">
        <v>583</v>
      </c>
      <c r="AK59" s="8" t="s">
        <v>584</v>
      </c>
      <c r="AL59" s="71" t="s">
        <v>958</v>
      </c>
      <c r="AM59" s="72" t="s">
        <v>674</v>
      </c>
      <c r="AN59" s="3">
        <v>30</v>
      </c>
      <c r="AO59" s="3">
        <v>24</v>
      </c>
      <c r="AP59" s="3">
        <v>18</v>
      </c>
      <c r="AQ59" s="3" t="s">
        <v>659</v>
      </c>
      <c r="AR59" s="3">
        <v>11</v>
      </c>
      <c r="AS59" s="99" t="s">
        <v>611</v>
      </c>
    </row>
    <row r="60" spans="1:45" ht="58.5" thickBot="1" x14ac:dyDescent="0.4">
      <c r="A60" s="67" t="s">
        <v>62</v>
      </c>
      <c r="B60" s="3" t="s">
        <v>149</v>
      </c>
      <c r="C60" s="95" t="s">
        <v>1038</v>
      </c>
      <c r="D60" s="88" t="s">
        <v>160</v>
      </c>
      <c r="E60" s="75" t="s">
        <v>186</v>
      </c>
      <c r="F60" s="75" t="s">
        <v>200</v>
      </c>
      <c r="G60" s="89" t="s">
        <v>260</v>
      </c>
      <c r="H60" s="90" t="s">
        <v>269</v>
      </c>
      <c r="I60" s="90" t="s">
        <v>275</v>
      </c>
      <c r="J60" s="91" t="s">
        <v>275</v>
      </c>
      <c r="K60" s="90" t="s">
        <v>275</v>
      </c>
      <c r="L60" s="3" t="s">
        <v>281</v>
      </c>
      <c r="M60" s="90">
        <v>2024</v>
      </c>
      <c r="N60" s="90" t="s">
        <v>283</v>
      </c>
      <c r="O60" s="102">
        <v>1</v>
      </c>
      <c r="P60" s="92">
        <v>15</v>
      </c>
      <c r="Q60" s="92" t="s">
        <v>376</v>
      </c>
      <c r="R60" s="92">
        <v>14</v>
      </c>
      <c r="S60" s="3" t="s">
        <v>338</v>
      </c>
      <c r="T60" s="76" t="s">
        <v>324</v>
      </c>
      <c r="U60" s="8" t="s">
        <v>331</v>
      </c>
      <c r="V60" s="92" t="s">
        <v>326</v>
      </c>
      <c r="W60" s="92" t="s">
        <v>342</v>
      </c>
      <c r="X60" s="92" t="s">
        <v>387</v>
      </c>
      <c r="Y60" s="76" t="s">
        <v>403</v>
      </c>
      <c r="Z60" s="76" t="s">
        <v>705</v>
      </c>
      <c r="AA60" s="76" t="s">
        <v>389</v>
      </c>
      <c r="AB60" s="77" t="s">
        <v>717</v>
      </c>
      <c r="AC60" s="78" t="s">
        <v>730</v>
      </c>
      <c r="AD60" s="78" t="s">
        <v>440</v>
      </c>
      <c r="AE60" s="78" t="s">
        <v>476</v>
      </c>
      <c r="AF60" s="78" t="s">
        <v>275</v>
      </c>
      <c r="AG60" s="79" t="s">
        <v>482</v>
      </c>
      <c r="AH60" s="80" t="s">
        <v>585</v>
      </c>
      <c r="AI60" s="81" t="s">
        <v>502</v>
      </c>
      <c r="AJ60" s="80" t="s">
        <v>586</v>
      </c>
      <c r="AK60" s="80" t="s">
        <v>587</v>
      </c>
      <c r="AL60" s="82" t="s">
        <v>979</v>
      </c>
      <c r="AM60" s="83" t="s">
        <v>675</v>
      </c>
      <c r="AN60" s="103">
        <v>14</v>
      </c>
      <c r="AO60" s="103">
        <v>211</v>
      </c>
      <c r="AP60" s="103">
        <v>19</v>
      </c>
      <c r="AQ60" s="103" t="s">
        <v>676</v>
      </c>
      <c r="AR60" s="103" t="s">
        <v>677</v>
      </c>
      <c r="AS60" s="104" t="s">
        <v>658</v>
      </c>
    </row>
    <row r="61" spans="1:45" ht="16" thickTop="1" x14ac:dyDescent="0.35">
      <c r="A61" s="97"/>
      <c r="B61" s="97"/>
      <c r="C61" s="96"/>
    </row>
  </sheetData>
  <autoFilter ref="A2:AS60" xr:uid="{00000000-0001-0000-0000-000000000000}">
    <sortState xmlns:xlrd2="http://schemas.microsoft.com/office/spreadsheetml/2017/richdata2" ref="A3:AS60">
      <sortCondition ref="B2:B60"/>
    </sortState>
  </autoFilter>
  <mergeCells count="6">
    <mergeCell ref="AG1:AL1"/>
    <mergeCell ref="AM1:AS1"/>
    <mergeCell ref="A1:G1"/>
    <mergeCell ref="H1:N1"/>
    <mergeCell ref="O1:AB1"/>
    <mergeCell ref="AC1:AF1"/>
  </mergeCells>
  <phoneticPr fontId="3" type="noConversion"/>
  <hyperlinks>
    <hyperlink ref="C4" r:id="rId1" display="https://doi.org/10.1002/aqc.3601" xr:uid="{FE6ED076-1A08-41AE-BEF7-7E1F02AD7219}"/>
    <hyperlink ref="C3" r:id="rId2" display="https://doi.org/10.1002/edn3.136" xr:uid="{AEFD94BD-97DA-4ED6-9F29-2FEC3EE5845E}"/>
    <hyperlink ref="C10" r:id="rId3" display="https://doi.org/10.3897/mbmg.2.30457?utm_source=chatgpt.com" xr:uid="{74A63461-C011-45E1-9650-F1644C27C03C}"/>
    <hyperlink ref="C7" r:id="rId4" display="https://doi.org/10.3897/mbmg.7.96780" xr:uid="{9EB69974-CAF7-48B0-B559-8E2093927166}"/>
    <hyperlink ref="C11" r:id="rId5" display="https://doi.org/10.1038/s41598-019-39399-5" xr:uid="{14473484-45C5-44BC-9B44-91F824E03D0F}"/>
    <hyperlink ref="C9" r:id="rId6" display="https://doi.org/10.1016/j.biocon.2020.108750" xr:uid="{91BCBC43-0AAA-4240-8792-1338FEB233BC}"/>
    <hyperlink ref="C12" r:id="rId7" display="https://doi.org/10.1038/s41467-020-17337-8" xr:uid="{8B39920B-3B69-4AFE-8250-FBB5442D57A0}"/>
    <hyperlink ref="C13" r:id="rId8" display="https://doi.org/10.3389/fenvs.2021.639380" xr:uid="{F387D7FF-8281-4A07-A69A-860B256C5612}"/>
    <hyperlink ref="C14" r:id="rId9" display="https://doi.org/10.1111/1755-0998.12900" xr:uid="{FAFBFB4B-4863-482E-9D5D-6B7D247B9404}"/>
    <hyperlink ref="C15" r:id="rId10" display="https://doi.org/10.1371/journal.pone.0157366" xr:uid="{B3A54C36-282F-45C7-A54A-42E4C52FBAA6}"/>
    <hyperlink ref="C16" r:id="rId11" display="https://doi.org/10.1002/aqc.2890" xr:uid="{39A3F1B9-C6CC-4C1A-887A-256A46C00A12}"/>
    <hyperlink ref="C17" r:id="rId12" display="https://doi.org/10.1016/j.scitotenv.2021.148054" xr:uid="{BAEE0E08-F01C-4484-A31B-6ABAFC538CD4}"/>
    <hyperlink ref="C18" r:id="rId13" display="https://doi.org/10.1002/edn3.158" xr:uid="{674F4793-24B5-4DA5-B31E-538F5C21F9A2}"/>
    <hyperlink ref="C19" r:id="rId14" display="https://doi.org/10.3390/ani15020285" xr:uid="{1ACCAF24-402E-4183-AEF0-8045906BDD50}"/>
    <hyperlink ref="C20" r:id="rId15" display="https://doi.org/10.1016/j.envres.2025.121238" xr:uid="{93BFB3D8-821C-4E81-88D8-BD941B44A924}"/>
    <hyperlink ref="C53" r:id="rId16" display="https://doi.org/10.1002/edn3.70004?utm_source=chatgpt.com" xr:uid="{8EB7A8FC-4C07-4758-824C-848185AC929B}"/>
    <hyperlink ref="C21" r:id="rId17" display="https://doi.org/10.1371/journal.pone.0296310" xr:uid="{C3D19DFC-4E55-4CC0-96E9-D0A0C79E42AC}"/>
    <hyperlink ref="C22" r:id="rId18" display="https://doi.org/10.7717/peerj.4486" xr:uid="{05B46547-8878-4EDC-84A8-C034F1CFA575}"/>
    <hyperlink ref="C23" r:id="rId19" display="https://doi.org/10.1111/jfb.14383" xr:uid="{6F043FAB-0595-4E77-8730-B7EE42C6FBFF}"/>
    <hyperlink ref="C24" r:id="rId20" display="https://doi.org/10.1111/jfb.14497" xr:uid="{02845A6A-E5DE-4C88-B1D2-347763AD1615}"/>
    <hyperlink ref="C25" r:id="rId21" display="https://doi.org/10.1002/edn3.241" xr:uid="{7E7428D1-8B0F-4269-AFBD-A3671748DE35}"/>
    <hyperlink ref="C27" r:id="rId22" display="https://doi.org/10.1016/j.gecco.2020.e01245" xr:uid="{07CB5D26-8751-4221-9010-FF6BDD450B09}"/>
    <hyperlink ref="C26" r:id="rId23" display="https://doi.org/10.1002/ece3.9785" xr:uid="{690DFE21-ECA0-47B0-A5E6-EC1D56DC41D5}"/>
    <hyperlink ref="C28" r:id="rId24" display="https://doi.org/10.1016/j.ecolind.2022.108968" xr:uid="{9E8A8F19-D910-4B8F-8EE5-B5678613EE7C}"/>
    <hyperlink ref="C30" r:id="rId25" display="https://doi.org/10.1111/1755-0998.12285" xr:uid="{1408658D-AFC9-4DCB-8663-0613230E2CCA}"/>
    <hyperlink ref="C32" r:id="rId26" display="https://doi.org/10.1002/ece3.73240?utm_source=chatgpt.com" xr:uid="{B07B0F8D-3BDD-47DD-A022-A576E8C3C51D}"/>
    <hyperlink ref="C31" r:id="rId27" display="https://doi.org/10.1371/journal.pone.0147558" xr:uid="{A0ED87FB-106D-43EF-8715-1ECF99D3F2F3}"/>
    <hyperlink ref="C34" r:id="rId28" display="https://doi.org/10.1002/edn3.510" xr:uid="{5EAE9C36-CAED-4DDE-BA3B-41A6F00DF9D3}"/>
    <hyperlink ref="C33" r:id="rId29" display="https://doi.org/10.1002/aqc.3163" xr:uid="{B13DF852-605A-4410-B908-31B619816A11}"/>
    <hyperlink ref="C35" r:id="rId30" display="https://doi.org/10.1002/ece3.70627" xr:uid="{C09AECA1-AA1F-4164-AE91-85328654E815}"/>
    <hyperlink ref="C36" r:id="rId31" display="https://doi.org/10.46989/001c.153969" xr:uid="{73C23875-73F2-40D8-9F6A-CD2DA4A9C499}"/>
    <hyperlink ref="C37" r:id="rId32" display="https://doi.org/10.1002/edn3.33" xr:uid="{EF6580E5-BB8A-439F-8874-38E685A48807}"/>
    <hyperlink ref="C40" r:id="rId33" display="https://doi.org/10.1007/s10531-022-02459-w" xr:uid="{60E4AB3C-EB9C-4EB3-BAA2-D1CE7AB8C9D5}"/>
    <hyperlink ref="C41" r:id="rId34" display="https://doi.org/10.1111/jfb.14190" xr:uid="{E98E5224-86A9-48F7-A571-381F93583BF7}"/>
    <hyperlink ref="C42" r:id="rId35" display="https://doi.org/10.3389/fevo.2021.629217" xr:uid="{8A4EEBB3-5423-485B-88CD-2F6B3767722D}"/>
    <hyperlink ref="C43" r:id="rId36" display="https://doi.org/10.3390/fishes11040219" xr:uid="{5401DE04-E504-4C68-99C5-776F0C4CA9A6}"/>
    <hyperlink ref="C44" r:id="rId37" display="https://doi.org/10.1002/ece3.2186" xr:uid="{451F7603-0A92-4255-8060-FEFFABB84773}"/>
    <hyperlink ref="C45" r:id="rId38" display="https://doi.org/10.1016/j.ecolind.2026.114694" xr:uid="{40844B5A-3692-413B-82A3-D64D5F842D0B}"/>
    <hyperlink ref="C46" r:id="rId39" display="https://doi.org/10.1111/1755-0998.13715" xr:uid="{FDACFD77-3071-4261-BA86-2A55479CA1AA}"/>
    <hyperlink ref="C47" r:id="rId40" display="https://doi.org/10.1038/s41598-018-28424-8" xr:uid="{D9122E64-C0A0-44ED-8B50-230802314201}"/>
    <hyperlink ref="C49" r:id="rId41" display="https://doi.org/10.1007/s10530-019-02056-z" xr:uid="{3B523293-84F6-483C-846D-BEE26B4DCE48}"/>
    <hyperlink ref="C50" r:id="rId42" display="https://doi.org/10.1038/s41598-019-51398-0" xr:uid="{4776A0BF-DFCF-49B0-BFDB-C685BF56C234}"/>
    <hyperlink ref="C51" r:id="rId43" display="https://doi.org/10.1002/edn3.171" xr:uid="{2843A751-4545-47E9-92E9-FAC35FA55147}"/>
    <hyperlink ref="C52" r:id="rId44" display="https://doi.org/10.1016/j.biocon.2018.01.030" xr:uid="{926893E4-9E47-4FF6-9C07-60876F8F266B}"/>
    <hyperlink ref="C54" r:id="rId45" display="https://doi.org/10.1111/mec.13428" xr:uid="{BBF7ED64-EC11-4DF4-9D49-59528E195C97}"/>
    <hyperlink ref="C55" r:id="rId46" display="https://doi.org/10.1016/j.envres.2023.115857" xr:uid="{38585CB4-7808-428D-B32A-C5C255D64297}"/>
    <hyperlink ref="C56" r:id="rId47" display="https://doi.org/10.3389/fmars.2024.1289589" xr:uid="{9BCEFD89-6A1E-49DA-AC82-AAE85920CFB3}"/>
    <hyperlink ref="C57" r:id="rId48" display="https://doi.org/10.1016/j.biocon.2015.12.023" xr:uid="{BFE56787-F886-497A-B9D1-1865781935B0}"/>
    <hyperlink ref="C58" r:id="rId49" display="https://doi.org/10.1016/j.gecco.2025.e03963" xr:uid="{E70F98DD-C979-4506-902E-51931C37E929}"/>
    <hyperlink ref="C59" r:id="rId50" display="https://doi.org/10.3390/fishes10090430" xr:uid="{F603BD5F-BC08-452A-BFC5-1615E2C26620}"/>
    <hyperlink ref="C60" r:id="rId51" display="https://doi.org/10.1038/s41598-025-32964-1" xr:uid="{646C7BD8-89F2-467C-A125-E8F9D4C7DB10}"/>
    <hyperlink ref="C48" r:id="rId52" display="https://doi.org/10.1007/s10201-020-00645-9" xr:uid="{164CB745-260A-49AC-8977-7EA78C29471A}"/>
    <hyperlink ref="C29" r:id="rId53" display="https://doi.org/10.1016/j.gecco.2023.e02448" xr:uid="{5EF2B7B3-F568-4686-9C24-7B110DE2DBCC}"/>
    <hyperlink ref="C6" r:id="rId54" display="https://doi.org/10.3897/mbmg.9.151675" xr:uid="{51485F82-FE47-48F1-B230-C1835DC3944B}"/>
    <hyperlink ref="C5" r:id="rId55" display="https://doi.org/10.1002/edn3.70182" xr:uid="{0CAEFB91-274B-41E1-B09D-22A919804BA0}"/>
    <hyperlink ref="C38" r:id="rId56" display="https://doi.org/10.1016/j.jglr.2024.102317" xr:uid="{972704EF-555D-431C-B4E7-720C7CAFAC6A}"/>
    <hyperlink ref="C39" r:id="rId57" display="https://doi.org/10.1111/mec.15644?utm_source=chatgpt.com" xr:uid="{176EB609-DD55-4E05-99CF-AB61BC5C5B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62FA-D750-4AA2-9299-68CF003A8A06}">
  <dimension ref="A1:AS61"/>
  <sheetViews>
    <sheetView zoomScale="55" zoomScaleNormal="55" workbookViewId="0">
      <selection activeCell="W1" sqref="W1"/>
    </sheetView>
  </sheetViews>
  <sheetFormatPr defaultColWidth="15.7265625" defaultRowHeight="19.5" customHeight="1" x14ac:dyDescent="0.35"/>
  <cols>
    <col min="1" max="4" width="15.7265625" style="3"/>
    <col min="5" max="5" width="22.81640625" style="3" customWidth="1"/>
    <col min="6" max="9" width="15.7265625" style="51"/>
    <col min="10" max="10" width="20.26953125" style="3" customWidth="1"/>
    <col min="11" max="17" width="15.7265625" style="8"/>
    <col min="18" max="21" width="15.7265625" style="3"/>
    <col min="22" max="22" width="21.26953125" style="8" customWidth="1"/>
    <col min="23" max="23" width="15.7265625" style="12"/>
    <col min="24" max="24" width="15.7265625" style="3"/>
    <col min="25" max="26" width="15.7265625" style="8"/>
    <col min="27" max="28" width="15.7265625" style="3"/>
    <col min="29" max="29" width="56.90625" style="51" customWidth="1"/>
    <col min="30" max="31" width="15.7265625" style="51"/>
    <col min="32" max="32" width="27.36328125" style="51" customWidth="1"/>
    <col min="33" max="34" width="15.7265625" style="51"/>
    <col min="35" max="43" width="15.7265625" style="3"/>
    <col min="44" max="44" width="0" style="3" hidden="1" customWidth="1"/>
    <col min="45" max="16384" width="15.7265625" style="3"/>
  </cols>
  <sheetData>
    <row r="1" spans="1:45" s="93" customFormat="1" ht="31" customHeight="1" x14ac:dyDescent="0.35">
      <c r="A1" s="94" t="s">
        <v>982</v>
      </c>
    </row>
    <row r="2" spans="1:45" s="6" customFormat="1" ht="43.5" customHeight="1" x14ac:dyDescent="0.35">
      <c r="A2" s="52" t="s">
        <v>3</v>
      </c>
      <c r="B2" s="53" t="s">
        <v>63</v>
      </c>
      <c r="C2" s="53" t="s">
        <v>831</v>
      </c>
      <c r="D2" s="53" t="s">
        <v>0</v>
      </c>
      <c r="E2" s="54" t="s">
        <v>67</v>
      </c>
      <c r="F2" s="54" t="s">
        <v>68</v>
      </c>
      <c r="G2" s="54" t="s">
        <v>69</v>
      </c>
      <c r="H2" s="54" t="s">
        <v>70</v>
      </c>
      <c r="I2" s="54" t="s">
        <v>71</v>
      </c>
      <c r="J2" s="54" t="s">
        <v>72</v>
      </c>
      <c r="K2" s="54" t="s">
        <v>73</v>
      </c>
      <c r="L2" s="55" t="s">
        <v>796</v>
      </c>
      <c r="M2" s="56" t="s">
        <v>797</v>
      </c>
      <c r="N2" s="56" t="s">
        <v>798</v>
      </c>
      <c r="O2" s="56" t="s">
        <v>799</v>
      </c>
      <c r="P2" s="56" t="s">
        <v>77</v>
      </c>
      <c r="Q2" s="56" t="s">
        <v>78</v>
      </c>
      <c r="R2" s="56" t="s">
        <v>79</v>
      </c>
      <c r="S2" s="56" t="s">
        <v>80</v>
      </c>
      <c r="T2" s="56" t="s">
        <v>81</v>
      </c>
      <c r="U2" s="56" t="s">
        <v>82</v>
      </c>
      <c r="V2" s="56" t="s">
        <v>2</v>
      </c>
      <c r="W2" s="57" t="s">
        <v>83</v>
      </c>
      <c r="X2" s="56" t="s">
        <v>84</v>
      </c>
      <c r="Y2" s="56" t="s">
        <v>747</v>
      </c>
      <c r="Z2" s="56" t="s">
        <v>755</v>
      </c>
      <c r="AA2" s="56" t="s">
        <v>757</v>
      </c>
      <c r="AB2" s="58" t="s">
        <v>85</v>
      </c>
      <c r="AC2" s="59" t="s">
        <v>800</v>
      </c>
      <c r="AD2" s="59" t="s">
        <v>801</v>
      </c>
      <c r="AE2" s="59" t="s">
        <v>802</v>
      </c>
      <c r="AF2" s="59" t="s">
        <v>89</v>
      </c>
      <c r="AG2" s="60" t="s">
        <v>803</v>
      </c>
      <c r="AH2" s="61" t="s">
        <v>804</v>
      </c>
      <c r="AI2" s="61" t="s">
        <v>805</v>
      </c>
      <c r="AJ2" s="61" t="s">
        <v>806</v>
      </c>
      <c r="AK2" s="61" t="s">
        <v>94</v>
      </c>
      <c r="AL2" s="62" t="s">
        <v>807</v>
      </c>
      <c r="AM2" s="63" t="s">
        <v>96</v>
      </c>
      <c r="AN2" s="64" t="s">
        <v>808</v>
      </c>
      <c r="AO2" s="64" t="s">
        <v>809</v>
      </c>
      <c r="AP2" s="64" t="s">
        <v>810</v>
      </c>
      <c r="AQ2" s="65" t="s">
        <v>811</v>
      </c>
      <c r="AR2" s="64" t="s">
        <v>812</v>
      </c>
      <c r="AS2" s="66" t="s">
        <v>102</v>
      </c>
    </row>
    <row r="3" spans="1:45" ht="19.5" customHeight="1" x14ac:dyDescent="0.35">
      <c r="A3" s="67" t="s">
        <v>5</v>
      </c>
      <c r="B3" s="3" t="s">
        <v>107</v>
      </c>
      <c r="C3" s="3">
        <v>2021</v>
      </c>
      <c r="D3" s="3" t="s">
        <v>185</v>
      </c>
      <c r="E3" s="3" t="s">
        <v>268</v>
      </c>
      <c r="F3" s="3" t="s">
        <v>274</v>
      </c>
      <c r="G3" s="8" t="s">
        <v>275</v>
      </c>
      <c r="H3" s="3" t="s">
        <v>275</v>
      </c>
      <c r="I3" s="3" t="s">
        <v>281</v>
      </c>
      <c r="J3" s="3" t="s">
        <v>838</v>
      </c>
      <c r="K3" s="3" t="s">
        <v>283</v>
      </c>
      <c r="L3" s="68">
        <v>5</v>
      </c>
      <c r="M3" s="51">
        <v>1</v>
      </c>
      <c r="N3" s="51">
        <v>5</v>
      </c>
      <c r="O3" s="51">
        <v>6</v>
      </c>
      <c r="P3" s="3" t="s">
        <v>323</v>
      </c>
      <c r="Q3" s="8" t="s">
        <v>324</v>
      </c>
      <c r="R3" s="8" t="s">
        <v>325</v>
      </c>
      <c r="S3" s="3" t="s">
        <v>326</v>
      </c>
      <c r="T3" s="3" t="s">
        <v>342</v>
      </c>
      <c r="U3" s="3" t="s">
        <v>387</v>
      </c>
      <c r="V3" s="8" t="s">
        <v>388</v>
      </c>
      <c r="W3" s="12" t="s">
        <v>690</v>
      </c>
      <c r="X3" s="8" t="s">
        <v>389</v>
      </c>
      <c r="Y3" s="8" t="s">
        <v>748</v>
      </c>
      <c r="Z3" s="8" t="s">
        <v>748</v>
      </c>
      <c r="AA3" s="8" t="s">
        <v>623</v>
      </c>
      <c r="AB3" s="69" t="s">
        <v>707</v>
      </c>
      <c r="AC3" s="3" t="s">
        <v>758</v>
      </c>
      <c r="AD3" s="3" t="s">
        <v>419</v>
      </c>
      <c r="AE3" s="3" t="s">
        <v>770</v>
      </c>
      <c r="AF3" s="3">
        <v>199</v>
      </c>
      <c r="AG3" s="70" t="s">
        <v>482</v>
      </c>
      <c r="AH3" s="8" t="s">
        <v>497</v>
      </c>
      <c r="AI3" s="3" t="s">
        <v>494</v>
      </c>
      <c r="AJ3" s="8" t="s">
        <v>787</v>
      </c>
      <c r="AK3" s="8" t="s">
        <v>496</v>
      </c>
      <c r="AL3" s="71" t="s">
        <v>949</v>
      </c>
      <c r="AM3" s="72" t="s">
        <v>606</v>
      </c>
      <c r="AN3" s="51">
        <v>4</v>
      </c>
      <c r="AO3" s="51">
        <v>17.5</v>
      </c>
      <c r="AP3" s="51">
        <v>17</v>
      </c>
      <c r="AQ3" s="51">
        <v>1.1499999999999999</v>
      </c>
      <c r="AR3" s="51">
        <v>6</v>
      </c>
      <c r="AS3" s="73" t="s">
        <v>611</v>
      </c>
    </row>
    <row r="4" spans="1:45" ht="19.5" customHeight="1" x14ac:dyDescent="0.35">
      <c r="A4" s="67" t="s">
        <v>6</v>
      </c>
      <c r="B4" s="3" t="s">
        <v>107</v>
      </c>
      <c r="C4" s="3">
        <v>2021</v>
      </c>
      <c r="D4" s="3" t="s">
        <v>185</v>
      </c>
      <c r="E4" s="3" t="s">
        <v>268</v>
      </c>
      <c r="F4" s="3" t="s">
        <v>274</v>
      </c>
      <c r="G4" s="8" t="s">
        <v>284</v>
      </c>
      <c r="H4" s="3" t="s">
        <v>275</v>
      </c>
      <c r="I4" s="3" t="s">
        <v>281</v>
      </c>
      <c r="J4" s="3" t="s">
        <v>285</v>
      </c>
      <c r="K4" s="3" t="s">
        <v>283</v>
      </c>
      <c r="L4" s="68">
        <v>5</v>
      </c>
      <c r="M4" s="51">
        <v>1</v>
      </c>
      <c r="N4" s="51">
        <v>5</v>
      </c>
      <c r="O4" s="51">
        <v>9</v>
      </c>
      <c r="P4" s="3" t="s">
        <v>323</v>
      </c>
      <c r="Q4" s="8" t="s">
        <v>324</v>
      </c>
      <c r="R4" s="8" t="s">
        <v>325</v>
      </c>
      <c r="S4" s="3" t="s">
        <v>326</v>
      </c>
      <c r="T4" s="3" t="s">
        <v>342</v>
      </c>
      <c r="U4" s="3" t="s">
        <v>387</v>
      </c>
      <c r="V4" s="8" t="s">
        <v>388</v>
      </c>
      <c r="W4" s="12" t="s">
        <v>691</v>
      </c>
      <c r="X4" s="8" t="s">
        <v>389</v>
      </c>
      <c r="Y4" s="8" t="s">
        <v>748</v>
      </c>
      <c r="Z4" s="8" t="s">
        <v>748</v>
      </c>
      <c r="AA4" s="8" t="s">
        <v>623</v>
      </c>
      <c r="AB4" s="69" t="s">
        <v>707</v>
      </c>
      <c r="AC4" s="3" t="s">
        <v>758</v>
      </c>
      <c r="AD4" s="3" t="s">
        <v>417</v>
      </c>
      <c r="AE4" s="3" t="s">
        <v>771</v>
      </c>
      <c r="AF4" s="3">
        <v>70</v>
      </c>
      <c r="AG4" s="70" t="s">
        <v>781</v>
      </c>
      <c r="AH4" s="8" t="s">
        <v>275</v>
      </c>
      <c r="AI4" s="3" t="s">
        <v>275</v>
      </c>
      <c r="AJ4" s="8" t="s">
        <v>275</v>
      </c>
      <c r="AK4" s="8" t="s">
        <v>275</v>
      </c>
      <c r="AL4" s="71" t="s">
        <v>275</v>
      </c>
      <c r="AM4" s="72" t="s">
        <v>275</v>
      </c>
      <c r="AN4" s="51" t="s">
        <v>275</v>
      </c>
      <c r="AO4" s="51" t="s">
        <v>275</v>
      </c>
      <c r="AP4" s="51" t="s">
        <v>275</v>
      </c>
      <c r="AQ4" s="51" t="s">
        <v>275</v>
      </c>
      <c r="AR4" s="51" t="s">
        <v>275</v>
      </c>
      <c r="AS4" s="73" t="s">
        <v>275</v>
      </c>
    </row>
    <row r="5" spans="1:45" ht="19.5" customHeight="1" x14ac:dyDescent="0.35">
      <c r="A5" s="67" t="s">
        <v>7</v>
      </c>
      <c r="B5" s="3" t="s">
        <v>153</v>
      </c>
      <c r="C5" s="3">
        <v>2025</v>
      </c>
      <c r="D5" s="3" t="s">
        <v>189</v>
      </c>
      <c r="E5" s="3" t="s">
        <v>923</v>
      </c>
      <c r="F5" s="3" t="s">
        <v>275</v>
      </c>
      <c r="G5" s="8" t="s">
        <v>275</v>
      </c>
      <c r="H5" s="3" t="s">
        <v>275</v>
      </c>
      <c r="I5" s="3" t="s">
        <v>287</v>
      </c>
      <c r="J5" s="3" t="s">
        <v>321</v>
      </c>
      <c r="K5" s="3" t="s">
        <v>294</v>
      </c>
      <c r="L5" s="68">
        <v>1</v>
      </c>
      <c r="M5" s="51">
        <v>0.3</v>
      </c>
      <c r="N5" s="51">
        <v>1</v>
      </c>
      <c r="O5" s="51">
        <v>47</v>
      </c>
      <c r="P5" s="3" t="s">
        <v>341</v>
      </c>
      <c r="Q5" s="8" t="s">
        <v>324</v>
      </c>
      <c r="R5" s="8" t="s">
        <v>325</v>
      </c>
      <c r="S5" s="3" t="s">
        <v>332</v>
      </c>
      <c r="T5" s="3" t="s">
        <v>333</v>
      </c>
      <c r="U5" s="3" t="s">
        <v>390</v>
      </c>
      <c r="V5" s="8" t="s">
        <v>840</v>
      </c>
      <c r="W5" s="12" t="s">
        <v>275</v>
      </c>
      <c r="X5" s="8" t="s">
        <v>413</v>
      </c>
      <c r="Y5" s="8" t="s">
        <v>751</v>
      </c>
      <c r="Z5" s="8" t="s">
        <v>756</v>
      </c>
      <c r="AA5" s="8" t="s">
        <v>611</v>
      </c>
      <c r="AB5" s="69" t="s">
        <v>275</v>
      </c>
      <c r="AC5" s="3" t="s">
        <v>766</v>
      </c>
      <c r="AD5" s="3" t="s">
        <v>419</v>
      </c>
      <c r="AE5" s="3" t="s">
        <v>770</v>
      </c>
      <c r="AF5" s="3" t="s">
        <v>275</v>
      </c>
      <c r="AG5" s="70" t="s">
        <v>482</v>
      </c>
      <c r="AH5" s="8" t="s">
        <v>497</v>
      </c>
      <c r="AI5" s="3" t="s">
        <v>494</v>
      </c>
      <c r="AJ5" s="8" t="s">
        <v>791</v>
      </c>
      <c r="AK5" s="8" t="s">
        <v>599</v>
      </c>
      <c r="AL5" s="71" t="s">
        <v>948</v>
      </c>
      <c r="AM5" s="72" t="s">
        <v>613</v>
      </c>
      <c r="AN5" s="51">
        <v>19</v>
      </c>
      <c r="AO5" s="51">
        <v>36</v>
      </c>
      <c r="AP5" s="51">
        <v>19</v>
      </c>
      <c r="AQ5" s="51">
        <v>1.89</v>
      </c>
      <c r="AR5" s="51">
        <v>15</v>
      </c>
      <c r="AS5" s="73" t="s">
        <v>611</v>
      </c>
    </row>
    <row r="6" spans="1:45" ht="19.5" customHeight="1" x14ac:dyDescent="0.35">
      <c r="A6" s="67" t="s">
        <v>8</v>
      </c>
      <c r="B6" s="3" t="s">
        <v>152</v>
      </c>
      <c r="C6" s="3">
        <v>2025</v>
      </c>
      <c r="D6" s="3" t="s">
        <v>189</v>
      </c>
      <c r="E6" s="3" t="s">
        <v>270</v>
      </c>
      <c r="F6" s="3" t="s">
        <v>275</v>
      </c>
      <c r="G6" s="8" t="s">
        <v>275</v>
      </c>
      <c r="H6" s="3" t="s">
        <v>275</v>
      </c>
      <c r="I6" s="3" t="s">
        <v>281</v>
      </c>
      <c r="J6" s="3">
        <v>2023</v>
      </c>
      <c r="K6" s="3" t="s">
        <v>294</v>
      </c>
      <c r="L6" s="68">
        <v>2</v>
      </c>
      <c r="M6" s="51">
        <v>1.75</v>
      </c>
      <c r="N6" s="51">
        <v>3.5</v>
      </c>
      <c r="O6" s="51">
        <v>14</v>
      </c>
      <c r="P6" s="3" t="s">
        <v>338</v>
      </c>
      <c r="Q6" s="8" t="s">
        <v>324</v>
      </c>
      <c r="R6" s="8" t="s">
        <v>857</v>
      </c>
      <c r="S6" s="3" t="s">
        <v>332</v>
      </c>
      <c r="T6" s="3" t="s">
        <v>333</v>
      </c>
      <c r="U6" s="3" t="s">
        <v>387</v>
      </c>
      <c r="V6" s="8" t="s">
        <v>388</v>
      </c>
      <c r="W6" s="12" t="s">
        <v>275</v>
      </c>
      <c r="X6" s="8" t="s">
        <v>389</v>
      </c>
      <c r="Y6" s="8" t="s">
        <v>748</v>
      </c>
      <c r="Z6" s="8" t="s">
        <v>748</v>
      </c>
      <c r="AA6" s="8" t="s">
        <v>623</v>
      </c>
      <c r="AB6" s="69" t="s">
        <v>727</v>
      </c>
      <c r="AC6" s="3" t="s">
        <v>427</v>
      </c>
      <c r="AD6" s="3" t="s">
        <v>419</v>
      </c>
      <c r="AE6" s="3" t="s">
        <v>770</v>
      </c>
      <c r="AF6" s="3">
        <v>175</v>
      </c>
      <c r="AG6" s="70" t="s">
        <v>482</v>
      </c>
      <c r="AH6" s="8" t="s">
        <v>522</v>
      </c>
      <c r="AI6" s="3" t="s">
        <v>494</v>
      </c>
      <c r="AJ6" s="8" t="s">
        <v>787</v>
      </c>
      <c r="AK6" s="8" t="s">
        <v>596</v>
      </c>
      <c r="AL6" s="71" t="s">
        <v>949</v>
      </c>
      <c r="AM6" s="72" t="s">
        <v>613</v>
      </c>
      <c r="AN6" s="51">
        <v>14</v>
      </c>
      <c r="AO6" s="51">
        <v>4.9349999999999996</v>
      </c>
      <c r="AP6" s="51">
        <v>2.98</v>
      </c>
      <c r="AQ6" s="51">
        <v>1.85</v>
      </c>
      <c r="AR6" s="51" t="s">
        <v>275</v>
      </c>
      <c r="AS6" s="73" t="s">
        <v>611</v>
      </c>
    </row>
    <row r="7" spans="1:45" ht="19.5" customHeight="1" x14ac:dyDescent="0.35">
      <c r="A7" s="67" t="s">
        <v>9</v>
      </c>
      <c r="B7" s="3" t="s">
        <v>108</v>
      </c>
      <c r="C7" s="3">
        <v>2023</v>
      </c>
      <c r="D7" s="3" t="s">
        <v>186</v>
      </c>
      <c r="E7" s="3" t="s">
        <v>269</v>
      </c>
      <c r="F7" s="3">
        <v>90</v>
      </c>
      <c r="G7" s="8" t="s">
        <v>286</v>
      </c>
      <c r="H7" s="3" t="s">
        <v>275</v>
      </c>
      <c r="I7" s="3" t="s">
        <v>287</v>
      </c>
      <c r="J7" s="3" t="s">
        <v>285</v>
      </c>
      <c r="K7" s="3" t="s">
        <v>283</v>
      </c>
      <c r="L7" s="68">
        <v>1</v>
      </c>
      <c r="M7" s="51">
        <v>0.56999999999999995</v>
      </c>
      <c r="N7" s="51">
        <v>0.56999999999999995</v>
      </c>
      <c r="O7" s="51">
        <v>11</v>
      </c>
      <c r="P7" s="3" t="s">
        <v>275</v>
      </c>
      <c r="Q7" s="8" t="s">
        <v>324</v>
      </c>
      <c r="R7" s="8" t="s">
        <v>857</v>
      </c>
      <c r="S7" s="3" t="s">
        <v>332</v>
      </c>
      <c r="T7" s="3" t="s">
        <v>333</v>
      </c>
      <c r="U7" s="3" t="s">
        <v>390</v>
      </c>
      <c r="V7" s="8" t="s">
        <v>391</v>
      </c>
      <c r="W7" s="12" t="s">
        <v>275</v>
      </c>
      <c r="X7" s="8" t="s">
        <v>392</v>
      </c>
      <c r="Y7" s="8" t="s">
        <v>749</v>
      </c>
      <c r="Z7" s="8" t="s">
        <v>749</v>
      </c>
      <c r="AA7" s="8" t="s">
        <v>623</v>
      </c>
      <c r="AB7" s="69" t="s">
        <v>708</v>
      </c>
      <c r="AC7" s="3" t="s">
        <v>427</v>
      </c>
      <c r="AD7" s="3" t="s">
        <v>419</v>
      </c>
      <c r="AE7" s="3" t="s">
        <v>770</v>
      </c>
      <c r="AF7" s="3" t="s">
        <v>421</v>
      </c>
      <c r="AG7" s="70" t="s">
        <v>482</v>
      </c>
      <c r="AH7" s="8" t="s">
        <v>497</v>
      </c>
      <c r="AI7" s="3" t="s">
        <v>852</v>
      </c>
      <c r="AJ7" s="8" t="s">
        <v>858</v>
      </c>
      <c r="AK7" s="8" t="s">
        <v>500</v>
      </c>
      <c r="AL7" s="71" t="s">
        <v>949</v>
      </c>
      <c r="AM7" s="72" t="s">
        <v>612</v>
      </c>
      <c r="AN7" s="51" t="s">
        <v>275</v>
      </c>
      <c r="AO7" s="51">
        <v>34</v>
      </c>
      <c r="AP7" s="51">
        <v>44</v>
      </c>
      <c r="AQ7" s="51">
        <v>0.77</v>
      </c>
      <c r="AR7" s="51">
        <v>25</v>
      </c>
      <c r="AS7" s="73" t="s">
        <v>623</v>
      </c>
    </row>
    <row r="8" spans="1:45" ht="19.5" customHeight="1" x14ac:dyDescent="0.35">
      <c r="A8" s="67" t="s">
        <v>10</v>
      </c>
      <c r="B8" s="3" t="s">
        <v>929</v>
      </c>
      <c r="C8" s="3">
        <v>2021</v>
      </c>
      <c r="D8" s="3" t="s">
        <v>186</v>
      </c>
      <c r="E8" s="3" t="s">
        <v>268</v>
      </c>
      <c r="F8" s="3">
        <v>1.5</v>
      </c>
      <c r="G8" s="8" t="s">
        <v>275</v>
      </c>
      <c r="H8" s="3" t="s">
        <v>275</v>
      </c>
      <c r="I8" s="3" t="s">
        <v>281</v>
      </c>
      <c r="J8" s="3" t="s">
        <v>275</v>
      </c>
      <c r="K8" s="3" t="s">
        <v>283</v>
      </c>
      <c r="L8" s="68">
        <v>6</v>
      </c>
      <c r="M8" s="51">
        <v>0.1</v>
      </c>
      <c r="N8" s="51">
        <v>0.6</v>
      </c>
      <c r="O8" s="51">
        <v>39</v>
      </c>
      <c r="P8" s="3" t="s">
        <v>369</v>
      </c>
      <c r="Q8" s="8" t="s">
        <v>367</v>
      </c>
      <c r="R8" s="8" t="s">
        <v>857</v>
      </c>
      <c r="S8" s="3" t="s">
        <v>332</v>
      </c>
      <c r="T8" s="3" t="s">
        <v>333</v>
      </c>
      <c r="U8" s="3" t="s">
        <v>390</v>
      </c>
      <c r="V8" s="8" t="s">
        <v>393</v>
      </c>
      <c r="W8" s="12" t="s">
        <v>275</v>
      </c>
      <c r="X8" s="8" t="s">
        <v>397</v>
      </c>
      <c r="Y8" s="8" t="s">
        <v>752</v>
      </c>
      <c r="Z8" s="8" t="s">
        <v>752</v>
      </c>
      <c r="AA8" s="8" t="s">
        <v>623</v>
      </c>
      <c r="AB8" s="69" t="s">
        <v>275</v>
      </c>
      <c r="AC8" s="3" t="s">
        <v>427</v>
      </c>
      <c r="AD8" s="3" t="s">
        <v>419</v>
      </c>
      <c r="AE8" s="3" t="s">
        <v>770</v>
      </c>
      <c r="AF8" s="3" t="s">
        <v>930</v>
      </c>
      <c r="AG8" s="70" t="s">
        <v>482</v>
      </c>
      <c r="AH8" s="8" t="s">
        <v>497</v>
      </c>
      <c r="AI8" s="3" t="s">
        <v>275</v>
      </c>
      <c r="AJ8" s="8" t="s">
        <v>932</v>
      </c>
      <c r="AK8" s="8" t="s">
        <v>933</v>
      </c>
      <c r="AL8" s="71" t="s">
        <v>947</v>
      </c>
      <c r="AM8" s="72" t="s">
        <v>275</v>
      </c>
      <c r="AN8" s="51" t="s">
        <v>275</v>
      </c>
      <c r="AO8" s="51">
        <v>108</v>
      </c>
      <c r="AP8" s="51" t="s">
        <v>275</v>
      </c>
      <c r="AQ8" s="51" t="s">
        <v>275</v>
      </c>
      <c r="AR8" s="51" t="s">
        <v>275</v>
      </c>
      <c r="AS8" s="73" t="s">
        <v>275</v>
      </c>
    </row>
    <row r="9" spans="1:45" ht="19.5" customHeight="1" x14ac:dyDescent="0.35">
      <c r="A9" s="67" t="s">
        <v>11</v>
      </c>
      <c r="B9" s="3" t="s">
        <v>900</v>
      </c>
      <c r="C9" s="3">
        <v>2020</v>
      </c>
      <c r="D9" s="3" t="s">
        <v>185</v>
      </c>
      <c r="E9" s="3" t="s">
        <v>924</v>
      </c>
      <c r="F9" s="3" t="s">
        <v>275</v>
      </c>
      <c r="G9" s="8" t="s">
        <v>275</v>
      </c>
      <c r="H9" s="3" t="s">
        <v>275</v>
      </c>
      <c r="I9" s="3" t="s">
        <v>290</v>
      </c>
      <c r="J9" s="3" t="s">
        <v>282</v>
      </c>
      <c r="K9" s="3" t="s">
        <v>283</v>
      </c>
      <c r="L9" s="68">
        <v>3</v>
      </c>
      <c r="M9" s="51">
        <v>1.5</v>
      </c>
      <c r="N9" s="51">
        <v>4.5</v>
      </c>
      <c r="O9" s="51">
        <v>8</v>
      </c>
      <c r="P9" s="3" t="s">
        <v>341</v>
      </c>
      <c r="Q9" s="8" t="s">
        <v>324</v>
      </c>
      <c r="R9" s="8" t="s">
        <v>325</v>
      </c>
      <c r="S9" s="3" t="s">
        <v>326</v>
      </c>
      <c r="T9" s="3" t="s">
        <v>342</v>
      </c>
      <c r="U9" s="3" t="s">
        <v>387</v>
      </c>
      <c r="V9" s="8" t="s">
        <v>395</v>
      </c>
      <c r="W9" s="12" t="s">
        <v>693</v>
      </c>
      <c r="X9" s="8" t="s">
        <v>396</v>
      </c>
      <c r="Y9" s="8" t="s">
        <v>751</v>
      </c>
      <c r="Z9" s="8" t="s">
        <v>751</v>
      </c>
      <c r="AA9" s="8" t="s">
        <v>623</v>
      </c>
      <c r="AB9" s="69" t="s">
        <v>709</v>
      </c>
      <c r="AC9" s="3" t="s">
        <v>759</v>
      </c>
      <c r="AD9" s="3" t="s">
        <v>417</v>
      </c>
      <c r="AE9" s="3" t="s">
        <v>771</v>
      </c>
      <c r="AF9" s="3">
        <v>110</v>
      </c>
      <c r="AG9" s="70" t="s">
        <v>781</v>
      </c>
      <c r="AH9" s="8" t="s">
        <v>509</v>
      </c>
      <c r="AI9" s="3" t="s">
        <v>275</v>
      </c>
      <c r="AJ9" s="8" t="s">
        <v>275</v>
      </c>
      <c r="AK9" s="8" t="s">
        <v>275</v>
      </c>
      <c r="AL9" s="71" t="s">
        <v>948</v>
      </c>
      <c r="AM9" s="72" t="s">
        <v>275</v>
      </c>
      <c r="AN9" s="51" t="s">
        <v>275</v>
      </c>
      <c r="AO9" s="51" t="s">
        <v>275</v>
      </c>
      <c r="AP9" s="51" t="s">
        <v>275</v>
      </c>
      <c r="AQ9" s="51" t="s">
        <v>275</v>
      </c>
      <c r="AR9" s="51" t="s">
        <v>275</v>
      </c>
      <c r="AS9" s="73" t="s">
        <v>275</v>
      </c>
    </row>
    <row r="10" spans="1:45" ht="19.5" customHeight="1" x14ac:dyDescent="0.35">
      <c r="A10" s="67" t="s">
        <v>12</v>
      </c>
      <c r="B10" s="3" t="s">
        <v>109</v>
      </c>
      <c r="C10" s="3">
        <v>2018</v>
      </c>
      <c r="D10" s="3" t="s">
        <v>187</v>
      </c>
      <c r="E10" s="3" t="s">
        <v>269</v>
      </c>
      <c r="F10" s="3" t="s">
        <v>275</v>
      </c>
      <c r="G10" s="8" t="s">
        <v>275</v>
      </c>
      <c r="H10" s="3" t="s">
        <v>275</v>
      </c>
      <c r="I10" s="3" t="s">
        <v>281</v>
      </c>
      <c r="J10" s="3">
        <v>2016</v>
      </c>
      <c r="K10" s="3" t="s">
        <v>283</v>
      </c>
      <c r="L10" s="68">
        <v>12</v>
      </c>
      <c r="M10" s="51">
        <v>2</v>
      </c>
      <c r="N10" s="51">
        <v>24</v>
      </c>
      <c r="O10" s="51">
        <v>5</v>
      </c>
      <c r="P10" s="3" t="s">
        <v>334</v>
      </c>
      <c r="Q10" s="8" t="s">
        <v>324</v>
      </c>
      <c r="R10" s="8" t="s">
        <v>857</v>
      </c>
      <c r="S10" s="3" t="s">
        <v>326</v>
      </c>
      <c r="T10" s="3" t="s">
        <v>335</v>
      </c>
      <c r="U10" s="3" t="s">
        <v>387</v>
      </c>
      <c r="V10" s="8" t="s">
        <v>393</v>
      </c>
      <c r="W10" s="12" t="s">
        <v>692</v>
      </c>
      <c r="X10" s="8" t="s">
        <v>394</v>
      </c>
      <c r="Y10" s="8" t="s">
        <v>750</v>
      </c>
      <c r="Z10" s="8" t="s">
        <v>750</v>
      </c>
      <c r="AA10" s="8" t="s">
        <v>623</v>
      </c>
      <c r="AB10" s="69" t="s">
        <v>709</v>
      </c>
      <c r="AC10" s="3" t="s">
        <v>759</v>
      </c>
      <c r="AD10" s="3" t="s">
        <v>419</v>
      </c>
      <c r="AE10" s="3" t="s">
        <v>770</v>
      </c>
      <c r="AF10" s="3">
        <v>170</v>
      </c>
      <c r="AG10" s="70" t="s">
        <v>482</v>
      </c>
      <c r="AH10" s="8" t="s">
        <v>497</v>
      </c>
      <c r="AI10" s="3" t="s">
        <v>502</v>
      </c>
      <c r="AJ10" s="8" t="s">
        <v>788</v>
      </c>
      <c r="AK10" s="8" t="s">
        <v>504</v>
      </c>
      <c r="AL10" s="71" t="s">
        <v>949</v>
      </c>
      <c r="AM10" s="72" t="s">
        <v>613</v>
      </c>
      <c r="AN10" s="51">
        <v>3</v>
      </c>
      <c r="AO10" s="51">
        <v>8.5</v>
      </c>
      <c r="AP10" s="51">
        <v>4.5</v>
      </c>
      <c r="AQ10" s="51">
        <v>1.85</v>
      </c>
      <c r="AR10" s="51" t="s">
        <v>275</v>
      </c>
      <c r="AS10" s="73" t="s">
        <v>611</v>
      </c>
    </row>
    <row r="11" spans="1:45" ht="19.5" customHeight="1" x14ac:dyDescent="0.35">
      <c r="A11" s="67" t="s">
        <v>13</v>
      </c>
      <c r="B11" s="3" t="s">
        <v>110</v>
      </c>
      <c r="C11" s="3">
        <v>2019</v>
      </c>
      <c r="D11" s="3" t="s">
        <v>188</v>
      </c>
      <c r="E11" s="3" t="s">
        <v>270</v>
      </c>
      <c r="F11" s="3" t="s">
        <v>276</v>
      </c>
      <c r="G11" s="8" t="s">
        <v>275</v>
      </c>
      <c r="H11" s="3">
        <v>0.5</v>
      </c>
      <c r="I11" s="3" t="s">
        <v>288</v>
      </c>
      <c r="J11" s="3">
        <v>2016</v>
      </c>
      <c r="K11" s="3" t="s">
        <v>289</v>
      </c>
      <c r="L11" s="68">
        <v>10</v>
      </c>
      <c r="M11" s="51">
        <v>25.5</v>
      </c>
      <c r="N11" s="51">
        <v>255</v>
      </c>
      <c r="O11" s="51">
        <v>6</v>
      </c>
      <c r="P11" s="3" t="s">
        <v>338</v>
      </c>
      <c r="Q11" s="8" t="s">
        <v>339</v>
      </c>
      <c r="R11" s="8" t="s">
        <v>857</v>
      </c>
      <c r="S11" s="3" t="s">
        <v>340</v>
      </c>
      <c r="T11" s="3" t="s">
        <v>333</v>
      </c>
      <c r="U11" s="3" t="s">
        <v>390</v>
      </c>
      <c r="V11" s="8" t="s">
        <v>391</v>
      </c>
      <c r="W11" s="12" t="s">
        <v>275</v>
      </c>
      <c r="X11" s="8" t="s">
        <v>389</v>
      </c>
      <c r="Y11" s="8" t="s">
        <v>748</v>
      </c>
      <c r="Z11" s="8" t="s">
        <v>748</v>
      </c>
      <c r="AA11" s="8" t="s">
        <v>623</v>
      </c>
      <c r="AB11" s="69" t="s">
        <v>710</v>
      </c>
      <c r="AC11" s="3" t="s">
        <v>760</v>
      </c>
      <c r="AD11" s="3" t="s">
        <v>419</v>
      </c>
      <c r="AE11" s="3" t="s">
        <v>772</v>
      </c>
      <c r="AF11" s="3" t="s">
        <v>275</v>
      </c>
      <c r="AG11" s="70" t="s">
        <v>482</v>
      </c>
      <c r="AH11" s="8" t="s">
        <v>783</v>
      </c>
      <c r="AI11" s="3" t="s">
        <v>506</v>
      </c>
      <c r="AJ11" s="8" t="s">
        <v>788</v>
      </c>
      <c r="AK11" s="8" t="s">
        <v>508</v>
      </c>
      <c r="AL11" s="71" t="s">
        <v>947</v>
      </c>
      <c r="AM11" s="72" t="s">
        <v>617</v>
      </c>
      <c r="AN11" s="51">
        <v>6</v>
      </c>
      <c r="AO11" s="51">
        <v>40.5</v>
      </c>
      <c r="AP11" s="51" t="s">
        <v>275</v>
      </c>
      <c r="AQ11" s="51">
        <v>0.7</v>
      </c>
      <c r="AR11" s="51" t="s">
        <v>275</v>
      </c>
      <c r="AS11" s="73" t="s">
        <v>623</v>
      </c>
    </row>
    <row r="12" spans="1:45" ht="19.5" customHeight="1" x14ac:dyDescent="0.35">
      <c r="A12" s="67" t="s">
        <v>14</v>
      </c>
      <c r="B12" s="3" t="s">
        <v>111</v>
      </c>
      <c r="C12" s="3">
        <v>2020</v>
      </c>
      <c r="D12" s="3" t="s">
        <v>185</v>
      </c>
      <c r="E12" s="3" t="s">
        <v>272</v>
      </c>
      <c r="F12" s="3">
        <v>751</v>
      </c>
      <c r="G12" s="8" t="s">
        <v>275</v>
      </c>
      <c r="H12" s="3" t="s">
        <v>275</v>
      </c>
      <c r="I12" s="3" t="s">
        <v>291</v>
      </c>
      <c r="J12" s="3">
        <v>2016</v>
      </c>
      <c r="K12" s="3" t="s">
        <v>283</v>
      </c>
      <c r="L12" s="68">
        <v>3</v>
      </c>
      <c r="M12" s="51">
        <v>0.25</v>
      </c>
      <c r="N12" s="51">
        <v>0.75</v>
      </c>
      <c r="O12" s="51">
        <v>61</v>
      </c>
      <c r="P12" s="3" t="s">
        <v>338</v>
      </c>
      <c r="Q12" s="8" t="s">
        <v>324</v>
      </c>
      <c r="R12" s="8" t="s">
        <v>857</v>
      </c>
      <c r="S12" s="3" t="s">
        <v>340</v>
      </c>
      <c r="T12" s="3" t="s">
        <v>333</v>
      </c>
      <c r="U12" s="3" t="s">
        <v>387</v>
      </c>
      <c r="V12" s="8" t="s">
        <v>393</v>
      </c>
      <c r="W12" s="12" t="s">
        <v>275</v>
      </c>
      <c r="X12" s="8" t="s">
        <v>397</v>
      </c>
      <c r="Y12" s="8" t="s">
        <v>752</v>
      </c>
      <c r="Z12" s="8" t="s">
        <v>752</v>
      </c>
      <c r="AA12" s="8" t="s">
        <v>623</v>
      </c>
      <c r="AB12" s="69" t="s">
        <v>709</v>
      </c>
      <c r="AC12" s="3" t="s">
        <v>427</v>
      </c>
      <c r="AD12" s="3" t="s">
        <v>417</v>
      </c>
      <c r="AE12" s="3" t="s">
        <v>773</v>
      </c>
      <c r="AF12" s="3" t="s">
        <v>275</v>
      </c>
      <c r="AG12" s="70" t="s">
        <v>482</v>
      </c>
      <c r="AH12" s="8" t="s">
        <v>497</v>
      </c>
      <c r="AI12" s="3" t="s">
        <v>852</v>
      </c>
      <c r="AJ12" s="8" t="s">
        <v>789</v>
      </c>
      <c r="AK12" s="8" t="s">
        <v>511</v>
      </c>
      <c r="AL12" s="71" t="s">
        <v>948</v>
      </c>
      <c r="AM12" s="72" t="s">
        <v>620</v>
      </c>
      <c r="AN12" s="51">
        <v>60</v>
      </c>
      <c r="AO12" s="51">
        <v>50</v>
      </c>
      <c r="AP12" s="51">
        <v>47</v>
      </c>
      <c r="AQ12" s="51">
        <v>1.06</v>
      </c>
      <c r="AR12" s="51">
        <v>36</v>
      </c>
      <c r="AS12" s="73" t="s">
        <v>611</v>
      </c>
    </row>
    <row r="13" spans="1:45" ht="19.5" customHeight="1" x14ac:dyDescent="0.35">
      <c r="A13" s="67" t="s">
        <v>15</v>
      </c>
      <c r="B13" s="3" t="s">
        <v>112</v>
      </c>
      <c r="C13" s="3">
        <v>2021</v>
      </c>
      <c r="D13" s="3" t="s">
        <v>185</v>
      </c>
      <c r="E13" s="3" t="s">
        <v>270</v>
      </c>
      <c r="F13" s="3" t="s">
        <v>275</v>
      </c>
      <c r="G13" s="8" t="s">
        <v>275</v>
      </c>
      <c r="H13" s="3">
        <v>7</v>
      </c>
      <c r="I13" s="3" t="s">
        <v>291</v>
      </c>
      <c r="J13" s="3" t="s">
        <v>292</v>
      </c>
      <c r="K13" s="3" t="s">
        <v>283</v>
      </c>
      <c r="L13" s="68">
        <v>4</v>
      </c>
      <c r="M13" s="51">
        <v>1.75</v>
      </c>
      <c r="N13" s="51">
        <v>7</v>
      </c>
      <c r="O13" s="51">
        <v>40</v>
      </c>
      <c r="P13" s="3" t="s">
        <v>275</v>
      </c>
      <c r="Q13" s="8" t="s">
        <v>345</v>
      </c>
      <c r="R13" s="8" t="s">
        <v>325</v>
      </c>
      <c r="S13" s="3" t="s">
        <v>326</v>
      </c>
      <c r="T13" s="3" t="s">
        <v>335</v>
      </c>
      <c r="U13" s="3" t="s">
        <v>387</v>
      </c>
      <c r="V13" s="8" t="s">
        <v>388</v>
      </c>
      <c r="W13" s="12" t="s">
        <v>692</v>
      </c>
      <c r="X13" s="8" t="s">
        <v>389</v>
      </c>
      <c r="Y13" s="8" t="s">
        <v>748</v>
      </c>
      <c r="Z13" s="8" t="s">
        <v>748</v>
      </c>
      <c r="AA13" s="8" t="s">
        <v>623</v>
      </c>
      <c r="AB13" s="69" t="s">
        <v>709</v>
      </c>
      <c r="AC13" s="3" t="s">
        <v>758</v>
      </c>
      <c r="AD13" s="3" t="s">
        <v>417</v>
      </c>
      <c r="AE13" s="3" t="s">
        <v>771</v>
      </c>
      <c r="AF13" s="3" t="s">
        <v>426</v>
      </c>
      <c r="AG13" s="70" t="s">
        <v>781</v>
      </c>
      <c r="AH13" s="8" t="s">
        <v>509</v>
      </c>
      <c r="AI13" s="3" t="s">
        <v>275</v>
      </c>
      <c r="AJ13" s="8" t="s">
        <v>275</v>
      </c>
      <c r="AK13" s="8" t="s">
        <v>275</v>
      </c>
      <c r="AL13" s="71" t="s">
        <v>948</v>
      </c>
      <c r="AM13" s="72" t="s">
        <v>275</v>
      </c>
      <c r="AN13" s="51" t="s">
        <v>275</v>
      </c>
      <c r="AO13" s="51" t="s">
        <v>275</v>
      </c>
      <c r="AP13" s="51" t="s">
        <v>275</v>
      </c>
      <c r="AQ13" s="51" t="s">
        <v>275</v>
      </c>
      <c r="AR13" s="51" t="s">
        <v>275</v>
      </c>
      <c r="AS13" s="73" t="s">
        <v>275</v>
      </c>
    </row>
    <row r="14" spans="1:45" ht="19.5" customHeight="1" x14ac:dyDescent="0.35">
      <c r="A14" s="67" t="s">
        <v>16</v>
      </c>
      <c r="B14" s="3" t="s">
        <v>113</v>
      </c>
      <c r="C14" s="3">
        <v>2019</v>
      </c>
      <c r="D14" s="3" t="s">
        <v>188</v>
      </c>
      <c r="E14" s="3" t="s">
        <v>270</v>
      </c>
      <c r="F14" s="3" t="s">
        <v>275</v>
      </c>
      <c r="G14" s="8" t="s">
        <v>275</v>
      </c>
      <c r="H14" s="3" t="s">
        <v>275</v>
      </c>
      <c r="I14" s="3" t="s">
        <v>287</v>
      </c>
      <c r="J14" s="3" t="s">
        <v>293</v>
      </c>
      <c r="K14" s="3" t="s">
        <v>294</v>
      </c>
      <c r="L14" s="68">
        <v>1</v>
      </c>
      <c r="M14" s="51">
        <v>50</v>
      </c>
      <c r="N14" s="51">
        <v>50</v>
      </c>
      <c r="O14" s="51">
        <v>39</v>
      </c>
      <c r="P14" s="3" t="s">
        <v>338</v>
      </c>
      <c r="Q14" s="8" t="s">
        <v>339</v>
      </c>
      <c r="R14" s="8" t="s">
        <v>857</v>
      </c>
      <c r="S14" s="3" t="s">
        <v>340</v>
      </c>
      <c r="T14" s="3" t="s">
        <v>333</v>
      </c>
      <c r="U14" s="3" t="s">
        <v>390</v>
      </c>
      <c r="V14" s="8" t="s">
        <v>391</v>
      </c>
      <c r="W14" s="12" t="s">
        <v>275</v>
      </c>
      <c r="X14" s="8" t="s">
        <v>398</v>
      </c>
      <c r="Y14" s="8" t="s">
        <v>630</v>
      </c>
      <c r="Z14" s="8" t="s">
        <v>630</v>
      </c>
      <c r="AA14" s="8" t="s">
        <v>623</v>
      </c>
      <c r="AB14" s="69" t="s">
        <v>711</v>
      </c>
      <c r="AC14" s="3" t="s">
        <v>427</v>
      </c>
      <c r="AD14" s="3" t="s">
        <v>419</v>
      </c>
      <c r="AE14" s="3" t="s">
        <v>772</v>
      </c>
      <c r="AF14" s="3" t="s">
        <v>275</v>
      </c>
      <c r="AG14" s="70" t="s">
        <v>482</v>
      </c>
      <c r="AH14" s="8" t="s">
        <v>783</v>
      </c>
      <c r="AI14" s="3" t="s">
        <v>506</v>
      </c>
      <c r="AJ14" s="8" t="s">
        <v>788</v>
      </c>
      <c r="AK14" s="8" t="s">
        <v>513</v>
      </c>
      <c r="AL14" s="71" t="s">
        <v>949</v>
      </c>
      <c r="AM14" s="72" t="s">
        <v>622</v>
      </c>
      <c r="AN14" s="51">
        <v>39</v>
      </c>
      <c r="AO14" s="51">
        <v>132</v>
      </c>
      <c r="AP14" s="51">
        <v>203</v>
      </c>
      <c r="AQ14" s="51">
        <v>0.65</v>
      </c>
      <c r="AR14" s="51">
        <v>119</v>
      </c>
      <c r="AS14" s="73" t="s">
        <v>623</v>
      </c>
    </row>
    <row r="15" spans="1:45" ht="19.5" customHeight="1" x14ac:dyDescent="0.35">
      <c r="A15" s="67" t="s">
        <v>17</v>
      </c>
      <c r="B15" s="3" t="s">
        <v>114</v>
      </c>
      <c r="C15" s="3">
        <v>2016</v>
      </c>
      <c r="D15" s="3" t="s">
        <v>185</v>
      </c>
      <c r="E15" s="3" t="s">
        <v>923</v>
      </c>
      <c r="F15" s="3">
        <v>6.9</v>
      </c>
      <c r="G15" s="9">
        <v>4.0854999999999997</v>
      </c>
      <c r="H15" s="9">
        <v>2.5</v>
      </c>
      <c r="I15" s="3" t="s">
        <v>290</v>
      </c>
      <c r="J15" s="3">
        <v>2014</v>
      </c>
      <c r="K15" s="3" t="s">
        <v>283</v>
      </c>
      <c r="L15" s="68">
        <v>3.33</v>
      </c>
      <c r="M15" s="51">
        <v>45</v>
      </c>
      <c r="N15" s="51">
        <v>149.85</v>
      </c>
      <c r="O15" s="51">
        <v>6</v>
      </c>
      <c r="P15" s="3" t="s">
        <v>334</v>
      </c>
      <c r="Q15" s="8" t="s">
        <v>339</v>
      </c>
      <c r="R15" s="8" t="s">
        <v>857</v>
      </c>
      <c r="S15" s="3" t="s">
        <v>340</v>
      </c>
      <c r="T15" s="3" t="s">
        <v>333</v>
      </c>
      <c r="U15" s="3" t="s">
        <v>390</v>
      </c>
      <c r="V15" s="8" t="s">
        <v>391</v>
      </c>
      <c r="W15" s="12" t="s">
        <v>275</v>
      </c>
      <c r="X15" s="8" t="s">
        <v>398</v>
      </c>
      <c r="Y15" s="8" t="s">
        <v>630</v>
      </c>
      <c r="Z15" s="8" t="s">
        <v>630</v>
      </c>
      <c r="AA15" s="8" t="s">
        <v>623</v>
      </c>
      <c r="AB15" s="69" t="s">
        <v>711</v>
      </c>
      <c r="AC15" s="3" t="s">
        <v>427</v>
      </c>
      <c r="AD15" s="3" t="s">
        <v>419</v>
      </c>
      <c r="AE15" s="3" t="s">
        <v>772</v>
      </c>
      <c r="AF15" s="3" t="s">
        <v>275</v>
      </c>
      <c r="AG15" s="70" t="s">
        <v>482</v>
      </c>
      <c r="AH15" s="8" t="s">
        <v>497</v>
      </c>
      <c r="AI15" s="3" t="s">
        <v>506</v>
      </c>
      <c r="AJ15" s="8" t="s">
        <v>788</v>
      </c>
      <c r="AK15" s="8" t="s">
        <v>515</v>
      </c>
      <c r="AL15" s="71" t="s">
        <v>949</v>
      </c>
      <c r="AM15" s="72" t="s">
        <v>624</v>
      </c>
      <c r="AN15" s="51">
        <v>3</v>
      </c>
      <c r="AO15" s="51">
        <v>18.667000000000002</v>
      </c>
      <c r="AP15" s="51">
        <v>12.333</v>
      </c>
      <c r="AQ15" s="51">
        <v>1.5269999999999999</v>
      </c>
      <c r="AR15" s="51">
        <v>12</v>
      </c>
      <c r="AS15" s="73" t="s">
        <v>611</v>
      </c>
    </row>
    <row r="16" spans="1:45" ht="19.5" customHeight="1" x14ac:dyDescent="0.35">
      <c r="A16" s="67" t="s">
        <v>18</v>
      </c>
      <c r="B16" s="3" t="s">
        <v>115</v>
      </c>
      <c r="C16" s="3">
        <v>2018</v>
      </c>
      <c r="D16" s="3" t="s">
        <v>185</v>
      </c>
      <c r="E16" s="3" t="s">
        <v>269</v>
      </c>
      <c r="F16" s="3">
        <v>930</v>
      </c>
      <c r="G16" s="8">
        <v>400</v>
      </c>
      <c r="H16" s="3" t="s">
        <v>275</v>
      </c>
      <c r="I16" s="3" t="s">
        <v>288</v>
      </c>
      <c r="J16" s="3">
        <v>2015</v>
      </c>
      <c r="K16" s="3" t="s">
        <v>294</v>
      </c>
      <c r="L16" s="68">
        <v>2</v>
      </c>
      <c r="M16" s="51">
        <v>1</v>
      </c>
      <c r="N16" s="51">
        <v>1</v>
      </c>
      <c r="O16" s="51">
        <v>5</v>
      </c>
      <c r="P16" s="3" t="s">
        <v>338</v>
      </c>
      <c r="Q16" s="8" t="s">
        <v>324</v>
      </c>
      <c r="R16" s="8" t="s">
        <v>857</v>
      </c>
      <c r="S16" s="3" t="s">
        <v>326</v>
      </c>
      <c r="T16" s="3" t="s">
        <v>275</v>
      </c>
      <c r="U16" s="3" t="s">
        <v>387</v>
      </c>
      <c r="V16" s="8" t="s">
        <v>391</v>
      </c>
      <c r="W16" s="12" t="s">
        <v>692</v>
      </c>
      <c r="X16" s="8" t="s">
        <v>399</v>
      </c>
      <c r="Y16" s="8" t="s">
        <v>753</v>
      </c>
      <c r="Z16" s="8" t="s">
        <v>753</v>
      </c>
      <c r="AA16" s="8" t="s">
        <v>623</v>
      </c>
      <c r="AB16" s="69" t="s">
        <v>709</v>
      </c>
      <c r="AC16" s="3" t="s">
        <v>759</v>
      </c>
      <c r="AD16" s="3" t="s">
        <v>430</v>
      </c>
      <c r="AE16" s="3" t="s">
        <v>771</v>
      </c>
      <c r="AF16" s="3" t="s">
        <v>432</v>
      </c>
      <c r="AG16" s="70" t="s">
        <v>781</v>
      </c>
      <c r="AH16" s="8" t="s">
        <v>275</v>
      </c>
      <c r="AI16" s="3" t="s">
        <v>275</v>
      </c>
      <c r="AJ16" s="8" t="s">
        <v>275</v>
      </c>
      <c r="AK16" s="8" t="s">
        <v>275</v>
      </c>
      <c r="AL16" s="71" t="s">
        <v>275</v>
      </c>
      <c r="AM16" s="72" t="s">
        <v>275</v>
      </c>
      <c r="AN16" s="51" t="s">
        <v>275</v>
      </c>
      <c r="AO16" s="51" t="s">
        <v>275</v>
      </c>
      <c r="AP16" s="51" t="s">
        <v>275</v>
      </c>
      <c r="AQ16" s="51" t="s">
        <v>275</v>
      </c>
      <c r="AR16" s="51" t="s">
        <v>275</v>
      </c>
      <c r="AS16" s="73" t="s">
        <v>275</v>
      </c>
    </row>
    <row r="17" spans="1:45" ht="19.5" customHeight="1" x14ac:dyDescent="0.35">
      <c r="A17" s="67" t="s">
        <v>19</v>
      </c>
      <c r="B17" s="3" t="s">
        <v>116</v>
      </c>
      <c r="C17" s="3">
        <v>2021</v>
      </c>
      <c r="D17" s="3" t="s">
        <v>185</v>
      </c>
      <c r="E17" s="3" t="s">
        <v>269</v>
      </c>
      <c r="F17" s="3">
        <v>400</v>
      </c>
      <c r="G17" s="8" t="s">
        <v>275</v>
      </c>
      <c r="H17" s="3" t="s">
        <v>275</v>
      </c>
      <c r="I17" s="3" t="s">
        <v>290</v>
      </c>
      <c r="J17" s="3" t="s">
        <v>275</v>
      </c>
      <c r="K17" s="3" t="s">
        <v>283</v>
      </c>
      <c r="L17" s="68">
        <v>3</v>
      </c>
      <c r="M17" s="51">
        <v>1</v>
      </c>
      <c r="N17" s="51">
        <v>3</v>
      </c>
      <c r="O17" s="51">
        <v>20</v>
      </c>
      <c r="P17" s="3" t="s">
        <v>275</v>
      </c>
      <c r="Q17" s="8" t="s">
        <v>345</v>
      </c>
      <c r="R17" s="8" t="s">
        <v>857</v>
      </c>
      <c r="S17" s="3" t="s">
        <v>332</v>
      </c>
      <c r="T17" s="3" t="s">
        <v>342</v>
      </c>
      <c r="U17" s="3" t="s">
        <v>387</v>
      </c>
      <c r="V17" s="8" t="s">
        <v>391</v>
      </c>
      <c r="W17" s="12" t="s">
        <v>694</v>
      </c>
      <c r="X17" s="8" t="s">
        <v>396</v>
      </c>
      <c r="Y17" s="8" t="s">
        <v>751</v>
      </c>
      <c r="Z17" s="8" t="s">
        <v>751</v>
      </c>
      <c r="AA17" s="8" t="s">
        <v>623</v>
      </c>
      <c r="AB17" s="69" t="s">
        <v>275</v>
      </c>
      <c r="AC17" s="3" t="s">
        <v>761</v>
      </c>
      <c r="AD17" s="3" t="s">
        <v>419</v>
      </c>
      <c r="AE17" s="3" t="s">
        <v>434</v>
      </c>
      <c r="AF17" s="3">
        <v>106</v>
      </c>
      <c r="AG17" s="70" t="s">
        <v>482</v>
      </c>
      <c r="AH17" s="8" t="s">
        <v>497</v>
      </c>
      <c r="AI17" s="3" t="s">
        <v>852</v>
      </c>
      <c r="AJ17" s="8" t="s">
        <v>790</v>
      </c>
      <c r="AK17" s="8" t="s">
        <v>517</v>
      </c>
      <c r="AL17" s="71" t="s">
        <v>275</v>
      </c>
      <c r="AM17" s="72" t="s">
        <v>275</v>
      </c>
      <c r="AN17" s="51" t="s">
        <v>275</v>
      </c>
      <c r="AO17" s="51" t="s">
        <v>275</v>
      </c>
      <c r="AP17" s="51" t="s">
        <v>275</v>
      </c>
      <c r="AQ17" s="51" t="s">
        <v>275</v>
      </c>
      <c r="AR17" s="51" t="s">
        <v>275</v>
      </c>
      <c r="AS17" s="73" t="s">
        <v>275</v>
      </c>
    </row>
    <row r="18" spans="1:45" ht="19.5" customHeight="1" x14ac:dyDescent="0.35">
      <c r="A18" s="67" t="s">
        <v>20</v>
      </c>
      <c r="B18" s="3" t="s">
        <v>117</v>
      </c>
      <c r="C18" s="3">
        <v>2021</v>
      </c>
      <c r="D18" s="3" t="s">
        <v>188</v>
      </c>
      <c r="E18" s="3" t="s">
        <v>270</v>
      </c>
      <c r="F18" s="3" t="s">
        <v>275</v>
      </c>
      <c r="G18" s="8" t="s">
        <v>275</v>
      </c>
      <c r="H18" s="3" t="s">
        <v>275</v>
      </c>
      <c r="I18" s="3" t="s">
        <v>291</v>
      </c>
      <c r="J18" s="3" t="s">
        <v>298</v>
      </c>
      <c r="K18" s="3" t="s">
        <v>294</v>
      </c>
      <c r="L18" s="68">
        <v>1</v>
      </c>
      <c r="M18" s="51">
        <v>42</v>
      </c>
      <c r="N18" s="51">
        <v>42</v>
      </c>
      <c r="O18" s="51">
        <v>15</v>
      </c>
      <c r="P18" s="3" t="s">
        <v>341</v>
      </c>
      <c r="Q18" s="8" t="s">
        <v>339</v>
      </c>
      <c r="R18" s="8" t="s">
        <v>857</v>
      </c>
      <c r="S18" s="3" t="s">
        <v>340</v>
      </c>
      <c r="T18" s="3" t="s">
        <v>333</v>
      </c>
      <c r="U18" s="3" t="s">
        <v>390</v>
      </c>
      <c r="V18" s="8" t="s">
        <v>391</v>
      </c>
      <c r="W18" s="12" t="s">
        <v>275</v>
      </c>
      <c r="X18" s="8" t="s">
        <v>400</v>
      </c>
      <c r="Y18" s="8" t="s">
        <v>748</v>
      </c>
      <c r="Z18" s="8">
        <v>1</v>
      </c>
      <c r="AA18" s="8" t="s">
        <v>623</v>
      </c>
      <c r="AB18" s="69" t="s">
        <v>708</v>
      </c>
      <c r="AC18" s="3" t="s">
        <v>760</v>
      </c>
      <c r="AD18" s="3" t="s">
        <v>419</v>
      </c>
      <c r="AE18" s="3" t="s">
        <v>772</v>
      </c>
      <c r="AF18" s="3" t="s">
        <v>275</v>
      </c>
      <c r="AG18" s="70" t="s">
        <v>482</v>
      </c>
      <c r="AH18" s="8" t="s">
        <v>783</v>
      </c>
      <c r="AI18" s="3" t="s">
        <v>506</v>
      </c>
      <c r="AJ18" s="8" t="s">
        <v>788</v>
      </c>
      <c r="AK18" s="8" t="s">
        <v>508</v>
      </c>
      <c r="AL18" s="71" t="s">
        <v>947</v>
      </c>
      <c r="AM18" s="72" t="s">
        <v>275</v>
      </c>
      <c r="AN18" s="51" t="s">
        <v>275</v>
      </c>
      <c r="AO18" s="51" t="s">
        <v>275</v>
      </c>
      <c r="AP18" s="51" t="s">
        <v>275</v>
      </c>
      <c r="AQ18" s="51" t="s">
        <v>275</v>
      </c>
      <c r="AR18" s="51" t="s">
        <v>275</v>
      </c>
      <c r="AS18" s="73" t="s">
        <v>275</v>
      </c>
    </row>
    <row r="19" spans="1:45" ht="19.5" customHeight="1" x14ac:dyDescent="0.35">
      <c r="A19" s="67" t="s">
        <v>21</v>
      </c>
      <c r="B19" s="3" t="s">
        <v>118</v>
      </c>
      <c r="C19" s="3">
        <v>2025</v>
      </c>
      <c r="D19" s="3" t="s">
        <v>185</v>
      </c>
      <c r="E19" s="3" t="s">
        <v>269</v>
      </c>
      <c r="F19" s="3">
        <v>45</v>
      </c>
      <c r="G19" s="8" t="s">
        <v>275</v>
      </c>
      <c r="H19" s="3" t="s">
        <v>275</v>
      </c>
      <c r="I19" s="3" t="s">
        <v>287</v>
      </c>
      <c r="J19" s="3">
        <v>2023</v>
      </c>
      <c r="K19" s="3" t="s">
        <v>294</v>
      </c>
      <c r="L19" s="68">
        <v>2</v>
      </c>
      <c r="M19" s="51">
        <v>2</v>
      </c>
      <c r="N19" s="51">
        <v>2</v>
      </c>
      <c r="O19" s="51">
        <v>17</v>
      </c>
      <c r="P19" s="3" t="s">
        <v>334</v>
      </c>
      <c r="Q19" s="8" t="s">
        <v>324</v>
      </c>
      <c r="R19" s="8" t="s">
        <v>857</v>
      </c>
      <c r="S19" s="3" t="s">
        <v>326</v>
      </c>
      <c r="T19" s="3" t="s">
        <v>342</v>
      </c>
      <c r="U19" s="3" t="s">
        <v>387</v>
      </c>
      <c r="V19" s="8" t="s">
        <v>388</v>
      </c>
      <c r="W19" s="12" t="s">
        <v>695</v>
      </c>
      <c r="X19" s="8" t="s">
        <v>401</v>
      </c>
      <c r="Y19" s="8" t="s">
        <v>753</v>
      </c>
      <c r="Z19" s="8" t="s">
        <v>750</v>
      </c>
      <c r="AA19" s="8" t="s">
        <v>611</v>
      </c>
      <c r="AB19" s="69" t="s">
        <v>275</v>
      </c>
      <c r="AC19" s="3" t="s">
        <v>758</v>
      </c>
      <c r="AD19" s="3" t="s">
        <v>419</v>
      </c>
      <c r="AE19" s="3" t="s">
        <v>771</v>
      </c>
      <c r="AF19" s="3" t="s">
        <v>275</v>
      </c>
      <c r="AG19" s="70" t="s">
        <v>781</v>
      </c>
      <c r="AH19" s="8" t="s">
        <v>275</v>
      </c>
      <c r="AI19" s="3" t="s">
        <v>275</v>
      </c>
      <c r="AJ19" s="8" t="s">
        <v>275</v>
      </c>
      <c r="AK19" s="8" t="s">
        <v>275</v>
      </c>
      <c r="AL19" s="71" t="s">
        <v>275</v>
      </c>
      <c r="AM19" s="72" t="s">
        <v>629</v>
      </c>
      <c r="AN19" s="51" t="s">
        <v>275</v>
      </c>
      <c r="AO19" s="51" t="s">
        <v>275</v>
      </c>
      <c r="AP19" s="51" t="s">
        <v>275</v>
      </c>
      <c r="AQ19" s="51" t="s">
        <v>275</v>
      </c>
      <c r="AR19" s="51" t="s">
        <v>275</v>
      </c>
      <c r="AS19" s="73" t="s">
        <v>275</v>
      </c>
    </row>
    <row r="20" spans="1:45" ht="19.5" customHeight="1" x14ac:dyDescent="0.35">
      <c r="A20" s="67" t="s">
        <v>22</v>
      </c>
      <c r="B20" s="3" t="s">
        <v>119</v>
      </c>
      <c r="C20" s="3">
        <v>2025</v>
      </c>
      <c r="D20" s="3" t="s">
        <v>185</v>
      </c>
      <c r="E20" s="3" t="s">
        <v>923</v>
      </c>
      <c r="F20" s="3">
        <v>12.3</v>
      </c>
      <c r="G20" s="8" t="s">
        <v>275</v>
      </c>
      <c r="H20" s="3" t="s">
        <v>275</v>
      </c>
      <c r="I20" s="3" t="s">
        <v>291</v>
      </c>
      <c r="J20" s="3" t="s">
        <v>299</v>
      </c>
      <c r="K20" s="3" t="s">
        <v>294</v>
      </c>
      <c r="L20" s="68">
        <v>5</v>
      </c>
      <c r="M20" s="51">
        <v>1</v>
      </c>
      <c r="N20" s="51">
        <v>5</v>
      </c>
      <c r="O20" s="51">
        <v>35</v>
      </c>
      <c r="P20" s="3" t="s">
        <v>334</v>
      </c>
      <c r="Q20" s="8" t="s">
        <v>324</v>
      </c>
      <c r="R20" s="8" t="s">
        <v>857</v>
      </c>
      <c r="S20" s="3" t="s">
        <v>332</v>
      </c>
      <c r="T20" s="3" t="s">
        <v>333</v>
      </c>
      <c r="U20" s="3" t="s">
        <v>390</v>
      </c>
      <c r="V20" s="8" t="s">
        <v>388</v>
      </c>
      <c r="W20" s="12" t="s">
        <v>696</v>
      </c>
      <c r="X20" s="8" t="s">
        <v>389</v>
      </c>
      <c r="Y20" s="8" t="s">
        <v>748</v>
      </c>
      <c r="Z20" s="8" t="s">
        <v>748</v>
      </c>
      <c r="AA20" s="8" t="s">
        <v>623</v>
      </c>
      <c r="AB20" s="69" t="s">
        <v>708</v>
      </c>
      <c r="AC20" s="3" t="s">
        <v>427</v>
      </c>
      <c r="AD20" s="3" t="s">
        <v>419</v>
      </c>
      <c r="AE20" s="3" t="s">
        <v>770</v>
      </c>
      <c r="AF20" s="3">
        <v>170</v>
      </c>
      <c r="AG20" s="70" t="s">
        <v>482</v>
      </c>
      <c r="AH20" s="8" t="s">
        <v>497</v>
      </c>
      <c r="AI20" s="3" t="s">
        <v>494</v>
      </c>
      <c r="AJ20" s="8" t="s">
        <v>787</v>
      </c>
      <c r="AK20" s="8" t="s">
        <v>792</v>
      </c>
      <c r="AL20" s="71" t="s">
        <v>948</v>
      </c>
      <c r="AM20" s="72" t="s">
        <v>613</v>
      </c>
      <c r="AN20" s="51">
        <v>35</v>
      </c>
      <c r="AO20" s="51">
        <v>31</v>
      </c>
      <c r="AP20" s="51">
        <v>31</v>
      </c>
      <c r="AQ20" s="51">
        <v>1</v>
      </c>
      <c r="AR20" s="51">
        <v>30</v>
      </c>
      <c r="AS20" s="73" t="s">
        <v>631</v>
      </c>
    </row>
    <row r="21" spans="1:45" ht="19.5" customHeight="1" x14ac:dyDescent="0.35">
      <c r="A21" s="67" t="s">
        <v>23</v>
      </c>
      <c r="B21" s="3" t="s">
        <v>120</v>
      </c>
      <c r="C21" s="3">
        <v>2024</v>
      </c>
      <c r="D21" s="3" t="s">
        <v>185</v>
      </c>
      <c r="E21" s="3" t="s">
        <v>269</v>
      </c>
      <c r="F21" s="3" t="s">
        <v>275</v>
      </c>
      <c r="G21" s="8" t="s">
        <v>300</v>
      </c>
      <c r="H21" s="3" t="s">
        <v>275</v>
      </c>
      <c r="I21" s="3" t="s">
        <v>291</v>
      </c>
      <c r="J21" s="3">
        <v>2021</v>
      </c>
      <c r="K21" s="3" t="s">
        <v>294</v>
      </c>
      <c r="L21" s="68">
        <v>1</v>
      </c>
      <c r="M21" s="51">
        <v>18.309999999999999</v>
      </c>
      <c r="N21" s="51">
        <v>18.309999999999999</v>
      </c>
      <c r="O21" s="51">
        <v>46</v>
      </c>
      <c r="P21" s="3" t="s">
        <v>334</v>
      </c>
      <c r="Q21" s="8" t="s">
        <v>339</v>
      </c>
      <c r="R21" s="8" t="s">
        <v>857</v>
      </c>
      <c r="S21" s="3" t="s">
        <v>340</v>
      </c>
      <c r="T21" s="3" t="s">
        <v>333</v>
      </c>
      <c r="U21" s="3" t="s">
        <v>390</v>
      </c>
      <c r="V21" s="8" t="s">
        <v>391</v>
      </c>
      <c r="W21" s="12" t="s">
        <v>275</v>
      </c>
      <c r="X21" s="8" t="s">
        <v>389</v>
      </c>
      <c r="Y21" s="8" t="s">
        <v>748</v>
      </c>
      <c r="Z21" s="8" t="s">
        <v>748</v>
      </c>
      <c r="AA21" s="8" t="s">
        <v>623</v>
      </c>
      <c r="AB21" s="69" t="s">
        <v>708</v>
      </c>
      <c r="AC21" s="3" t="s">
        <v>760</v>
      </c>
      <c r="AD21" s="3" t="s">
        <v>419</v>
      </c>
      <c r="AE21" s="3" t="s">
        <v>772</v>
      </c>
      <c r="AF21" s="3">
        <v>60</v>
      </c>
      <c r="AG21" s="70" t="s">
        <v>482</v>
      </c>
      <c r="AH21" s="8" t="s">
        <v>522</v>
      </c>
      <c r="AI21" s="3" t="s">
        <v>502</v>
      </c>
      <c r="AJ21" s="8" t="s">
        <v>788</v>
      </c>
      <c r="AK21" s="8" t="s">
        <v>524</v>
      </c>
      <c r="AL21" s="71" t="s">
        <v>949</v>
      </c>
      <c r="AM21" s="72" t="s">
        <v>275</v>
      </c>
      <c r="AN21" s="51" t="s">
        <v>275</v>
      </c>
      <c r="AO21" s="51" t="s">
        <v>275</v>
      </c>
      <c r="AP21" s="51" t="s">
        <v>275</v>
      </c>
      <c r="AQ21" s="51" t="s">
        <v>275</v>
      </c>
      <c r="AR21" s="51" t="s">
        <v>275</v>
      </c>
      <c r="AS21" s="73" t="s">
        <v>275</v>
      </c>
    </row>
    <row r="22" spans="1:45" ht="19.5" customHeight="1" x14ac:dyDescent="0.35">
      <c r="A22" s="67" t="s">
        <v>24</v>
      </c>
      <c r="B22" s="3" t="s">
        <v>121</v>
      </c>
      <c r="C22" s="3">
        <v>2018</v>
      </c>
      <c r="D22" s="3" t="s">
        <v>185</v>
      </c>
      <c r="E22" s="3" t="s">
        <v>270</v>
      </c>
      <c r="F22" s="3" t="s">
        <v>275</v>
      </c>
      <c r="G22" s="8" t="s">
        <v>275</v>
      </c>
      <c r="H22" s="3" t="s">
        <v>275</v>
      </c>
      <c r="I22" s="3" t="s">
        <v>288</v>
      </c>
      <c r="J22" s="3">
        <v>2015</v>
      </c>
      <c r="K22" s="3" t="s">
        <v>294</v>
      </c>
      <c r="L22" s="68">
        <v>1</v>
      </c>
      <c r="M22" s="51">
        <v>1.5</v>
      </c>
      <c r="N22" s="51">
        <v>1.5</v>
      </c>
      <c r="O22" s="51">
        <v>9</v>
      </c>
      <c r="P22" s="3" t="s">
        <v>338</v>
      </c>
      <c r="Q22" s="8" t="s">
        <v>324</v>
      </c>
      <c r="R22" s="8" t="s">
        <v>857</v>
      </c>
      <c r="S22" s="3" t="s">
        <v>326</v>
      </c>
      <c r="T22" s="3" t="s">
        <v>275</v>
      </c>
      <c r="U22" s="3" t="s">
        <v>387</v>
      </c>
      <c r="V22" s="8" t="s">
        <v>391</v>
      </c>
      <c r="W22" s="12" t="s">
        <v>402</v>
      </c>
      <c r="X22" s="8" t="s">
        <v>399</v>
      </c>
      <c r="Y22" s="8" t="s">
        <v>753</v>
      </c>
      <c r="Z22" s="8" t="s">
        <v>753</v>
      </c>
      <c r="AA22" s="8" t="s">
        <v>623</v>
      </c>
      <c r="AB22" s="69" t="s">
        <v>709</v>
      </c>
      <c r="AC22" s="3" t="s">
        <v>758</v>
      </c>
      <c r="AD22" s="3" t="s">
        <v>436</v>
      </c>
      <c r="AE22" s="3" t="s">
        <v>771</v>
      </c>
      <c r="AF22" s="3" t="s">
        <v>438</v>
      </c>
      <c r="AG22" s="70" t="s">
        <v>781</v>
      </c>
      <c r="AH22" s="8" t="s">
        <v>509</v>
      </c>
      <c r="AI22" s="3" t="s">
        <v>275</v>
      </c>
      <c r="AJ22" s="8" t="s">
        <v>275</v>
      </c>
      <c r="AK22" s="8" t="s">
        <v>275</v>
      </c>
      <c r="AL22" s="71" t="s">
        <v>275</v>
      </c>
      <c r="AM22" s="72" t="s">
        <v>275</v>
      </c>
      <c r="AN22" s="51" t="s">
        <v>275</v>
      </c>
      <c r="AO22" s="51" t="s">
        <v>275</v>
      </c>
      <c r="AP22" s="51" t="s">
        <v>275</v>
      </c>
      <c r="AQ22" s="51" t="s">
        <v>275</v>
      </c>
      <c r="AR22" s="51" t="s">
        <v>275</v>
      </c>
      <c r="AS22" s="73" t="s">
        <v>275</v>
      </c>
    </row>
    <row r="23" spans="1:45" ht="19.5" customHeight="1" x14ac:dyDescent="0.35">
      <c r="A23" s="67" t="s">
        <v>25</v>
      </c>
      <c r="B23" s="3" t="s">
        <v>122</v>
      </c>
      <c r="C23" s="3">
        <v>2020</v>
      </c>
      <c r="D23" s="3" t="s">
        <v>185</v>
      </c>
      <c r="E23" s="3" t="s">
        <v>269</v>
      </c>
      <c r="F23" s="3" t="s">
        <v>277</v>
      </c>
      <c r="G23" s="9">
        <v>131.5</v>
      </c>
      <c r="H23" s="3">
        <v>14.5</v>
      </c>
      <c r="I23" s="3" t="s">
        <v>291</v>
      </c>
      <c r="J23" s="3" t="s">
        <v>282</v>
      </c>
      <c r="K23" s="3" t="s">
        <v>283</v>
      </c>
      <c r="L23" s="68">
        <v>2</v>
      </c>
      <c r="M23" s="51">
        <v>30</v>
      </c>
      <c r="N23" s="51">
        <v>60</v>
      </c>
      <c r="O23" s="51">
        <v>9</v>
      </c>
      <c r="P23" s="3" t="s">
        <v>338</v>
      </c>
      <c r="Q23" s="8" t="s">
        <v>339</v>
      </c>
      <c r="R23" s="8" t="s">
        <v>857</v>
      </c>
      <c r="S23" s="3" t="s">
        <v>340</v>
      </c>
      <c r="T23" s="3" t="s">
        <v>333</v>
      </c>
      <c r="U23" s="3" t="s">
        <v>390</v>
      </c>
      <c r="V23" s="8" t="s">
        <v>391</v>
      </c>
      <c r="W23" s="12" t="s">
        <v>275</v>
      </c>
      <c r="X23" s="8" t="s">
        <v>389</v>
      </c>
      <c r="Y23" s="8" t="s">
        <v>748</v>
      </c>
      <c r="Z23" s="8" t="s">
        <v>748</v>
      </c>
      <c r="AA23" s="8" t="s">
        <v>623</v>
      </c>
      <c r="AB23" s="69" t="s">
        <v>708</v>
      </c>
      <c r="AC23" s="3" t="s">
        <v>760</v>
      </c>
      <c r="AD23" s="3" t="s">
        <v>419</v>
      </c>
      <c r="AE23" s="3" t="s">
        <v>772</v>
      </c>
      <c r="AF23" s="3" t="s">
        <v>439</v>
      </c>
      <c r="AG23" s="70" t="s">
        <v>482</v>
      </c>
      <c r="AH23" s="8" t="s">
        <v>783</v>
      </c>
      <c r="AI23" s="3" t="s">
        <v>506</v>
      </c>
      <c r="AJ23" s="8" t="s">
        <v>788</v>
      </c>
      <c r="AK23" s="8" t="s">
        <v>527</v>
      </c>
      <c r="AL23" s="71" t="s">
        <v>947</v>
      </c>
      <c r="AM23" s="72" t="s">
        <v>632</v>
      </c>
      <c r="AN23" s="51">
        <v>9</v>
      </c>
      <c r="AO23" s="51">
        <v>20</v>
      </c>
      <c r="AP23" s="51">
        <v>14.5</v>
      </c>
      <c r="AQ23" s="51">
        <v>1.6</v>
      </c>
      <c r="AR23" s="51">
        <v>12.5</v>
      </c>
      <c r="AS23" s="73" t="s">
        <v>611</v>
      </c>
    </row>
    <row r="24" spans="1:45" ht="19.5" customHeight="1" x14ac:dyDescent="0.35">
      <c r="A24" s="67" t="s">
        <v>26</v>
      </c>
      <c r="B24" s="3" t="s">
        <v>123</v>
      </c>
      <c r="C24" s="3">
        <v>2020</v>
      </c>
      <c r="D24" s="3" t="s">
        <v>185</v>
      </c>
      <c r="E24" s="3" t="s">
        <v>270</v>
      </c>
      <c r="F24" s="3" t="s">
        <v>275</v>
      </c>
      <c r="G24" s="8" t="s">
        <v>275</v>
      </c>
      <c r="H24" s="3" t="s">
        <v>275</v>
      </c>
      <c r="I24" s="3" t="s">
        <v>291</v>
      </c>
      <c r="J24" s="3">
        <v>2017</v>
      </c>
      <c r="K24" s="3" t="s">
        <v>294</v>
      </c>
      <c r="L24" s="68">
        <v>5</v>
      </c>
      <c r="M24" s="51">
        <v>2</v>
      </c>
      <c r="N24" s="51">
        <v>10</v>
      </c>
      <c r="O24" s="51">
        <v>17</v>
      </c>
      <c r="P24" s="3" t="s">
        <v>341</v>
      </c>
      <c r="Q24" s="8" t="s">
        <v>324</v>
      </c>
      <c r="R24" s="8" t="s">
        <v>857</v>
      </c>
      <c r="S24" s="3" t="s">
        <v>326</v>
      </c>
      <c r="T24" s="3" t="s">
        <v>342</v>
      </c>
      <c r="U24" s="3" t="s">
        <v>387</v>
      </c>
      <c r="V24" s="8" t="s">
        <v>388</v>
      </c>
      <c r="W24" s="12" t="s">
        <v>692</v>
      </c>
      <c r="X24" s="8" t="s">
        <v>389</v>
      </c>
      <c r="Y24" s="8" t="s">
        <v>748</v>
      </c>
      <c r="Z24" s="8" t="s">
        <v>748</v>
      </c>
      <c r="AA24" s="8" t="s">
        <v>623</v>
      </c>
      <c r="AB24" s="69" t="s">
        <v>712</v>
      </c>
      <c r="AC24" s="3" t="s">
        <v>758</v>
      </c>
      <c r="AD24" s="3" t="s">
        <v>419</v>
      </c>
      <c r="AE24" s="3" t="s">
        <v>434</v>
      </c>
      <c r="AF24" s="3">
        <v>106</v>
      </c>
      <c r="AG24" s="70" t="s">
        <v>482</v>
      </c>
      <c r="AH24" s="8" t="s">
        <v>497</v>
      </c>
      <c r="AI24" s="3" t="s">
        <v>502</v>
      </c>
      <c r="AJ24" s="8" t="s">
        <v>791</v>
      </c>
      <c r="AK24" s="8" t="s">
        <v>529</v>
      </c>
      <c r="AL24" s="71" t="s">
        <v>947</v>
      </c>
      <c r="AM24" s="72" t="s">
        <v>637</v>
      </c>
      <c r="AN24" s="51">
        <v>17</v>
      </c>
      <c r="AO24" s="51">
        <v>25</v>
      </c>
      <c r="AP24" s="51">
        <v>16</v>
      </c>
      <c r="AQ24" s="51">
        <v>1.56</v>
      </c>
      <c r="AR24" s="51">
        <v>15</v>
      </c>
      <c r="AS24" s="73" t="s">
        <v>611</v>
      </c>
    </row>
    <row r="25" spans="1:45" ht="19.5" customHeight="1" x14ac:dyDescent="0.35">
      <c r="A25" s="67" t="s">
        <v>27</v>
      </c>
      <c r="B25" s="3" t="s">
        <v>124</v>
      </c>
      <c r="C25" s="3">
        <v>2021</v>
      </c>
      <c r="D25" s="3" t="s">
        <v>185</v>
      </c>
      <c r="E25" s="3" t="s">
        <v>269</v>
      </c>
      <c r="F25" s="3">
        <v>346</v>
      </c>
      <c r="G25" s="8" t="s">
        <v>275</v>
      </c>
      <c r="H25" s="3" t="s">
        <v>275</v>
      </c>
      <c r="I25" s="3" t="s">
        <v>281</v>
      </c>
      <c r="J25" s="3">
        <v>2018</v>
      </c>
      <c r="K25" s="3" t="s">
        <v>289</v>
      </c>
      <c r="L25" s="68">
        <v>3</v>
      </c>
      <c r="M25" s="51">
        <v>1</v>
      </c>
      <c r="N25" s="51">
        <v>3</v>
      </c>
      <c r="O25" s="51">
        <v>35</v>
      </c>
      <c r="P25" s="3" t="s">
        <v>338</v>
      </c>
      <c r="Q25" s="8" t="s">
        <v>324</v>
      </c>
      <c r="R25" s="8" t="s">
        <v>857</v>
      </c>
      <c r="S25" s="3" t="s">
        <v>332</v>
      </c>
      <c r="T25" s="3" t="s">
        <v>333</v>
      </c>
      <c r="U25" s="3" t="s">
        <v>390</v>
      </c>
      <c r="V25" s="8" t="s">
        <v>275</v>
      </c>
      <c r="W25" s="12" t="s">
        <v>275</v>
      </c>
      <c r="X25" s="8" t="s">
        <v>389</v>
      </c>
      <c r="Y25" s="8" t="s">
        <v>748</v>
      </c>
      <c r="Z25" s="8" t="s">
        <v>748</v>
      </c>
      <c r="AA25" s="8" t="s">
        <v>623</v>
      </c>
      <c r="AB25" s="69" t="s">
        <v>709</v>
      </c>
      <c r="AC25" s="3" t="s">
        <v>427</v>
      </c>
      <c r="AD25" s="3" t="s">
        <v>440</v>
      </c>
      <c r="AE25" s="3" t="s">
        <v>770</v>
      </c>
      <c r="AF25" s="3" t="s">
        <v>275</v>
      </c>
      <c r="AG25" s="70" t="s">
        <v>482</v>
      </c>
      <c r="AH25" s="8" t="s">
        <v>497</v>
      </c>
      <c r="AI25" s="3" t="s">
        <v>494</v>
      </c>
      <c r="AJ25" s="8" t="s">
        <v>787</v>
      </c>
      <c r="AK25" s="8" t="s">
        <v>793</v>
      </c>
      <c r="AL25" s="71" t="s">
        <v>949</v>
      </c>
      <c r="AM25" s="72" t="s">
        <v>639</v>
      </c>
      <c r="AN25" s="51">
        <v>14</v>
      </c>
      <c r="AO25" s="51">
        <v>27</v>
      </c>
      <c r="AP25" s="51">
        <v>23</v>
      </c>
      <c r="AQ25" s="51">
        <v>1.17</v>
      </c>
      <c r="AR25" s="51">
        <v>16</v>
      </c>
      <c r="AS25" s="73" t="s">
        <v>611</v>
      </c>
    </row>
    <row r="26" spans="1:45" ht="19.5" customHeight="1" x14ac:dyDescent="0.35">
      <c r="A26" s="67" t="s">
        <v>28</v>
      </c>
      <c r="B26" s="3" t="s">
        <v>125</v>
      </c>
      <c r="C26" s="3">
        <v>2023</v>
      </c>
      <c r="D26" s="3" t="s">
        <v>185</v>
      </c>
      <c r="E26" s="3" t="s">
        <v>270</v>
      </c>
      <c r="F26" s="3" t="s">
        <v>275</v>
      </c>
      <c r="G26" s="8">
        <v>0.48</v>
      </c>
      <c r="H26" s="3" t="s">
        <v>275</v>
      </c>
      <c r="I26" s="3" t="s">
        <v>291</v>
      </c>
      <c r="J26" s="3">
        <v>2018</v>
      </c>
      <c r="K26" s="3" t="s">
        <v>294</v>
      </c>
      <c r="L26" s="68">
        <v>1</v>
      </c>
      <c r="M26" s="51">
        <v>1</v>
      </c>
      <c r="N26" s="51">
        <v>0.5</v>
      </c>
      <c r="O26" s="51">
        <v>3</v>
      </c>
      <c r="P26" s="3" t="s">
        <v>338</v>
      </c>
      <c r="Q26" s="8" t="s">
        <v>324</v>
      </c>
      <c r="R26" s="8" t="s">
        <v>857</v>
      </c>
      <c r="S26" s="3" t="s">
        <v>326</v>
      </c>
      <c r="T26" s="3" t="s">
        <v>351</v>
      </c>
      <c r="U26" s="3" t="s">
        <v>387</v>
      </c>
      <c r="V26" s="8" t="s">
        <v>388</v>
      </c>
      <c r="W26" s="12" t="s">
        <v>692</v>
      </c>
      <c r="X26" s="8" t="s">
        <v>389</v>
      </c>
      <c r="Y26" s="8" t="s">
        <v>748</v>
      </c>
      <c r="Z26" s="8" t="s">
        <v>748</v>
      </c>
      <c r="AA26" s="8" t="s">
        <v>623</v>
      </c>
      <c r="AB26" s="69" t="s">
        <v>709</v>
      </c>
      <c r="AC26" s="3" t="s">
        <v>427</v>
      </c>
      <c r="AD26" s="3" t="s">
        <v>442</v>
      </c>
      <c r="AE26" s="3" t="s">
        <v>771</v>
      </c>
      <c r="AF26" s="3">
        <v>731</v>
      </c>
      <c r="AG26" s="70" t="s">
        <v>782</v>
      </c>
      <c r="AH26" s="8" t="s">
        <v>497</v>
      </c>
      <c r="AI26" s="3" t="s">
        <v>494</v>
      </c>
      <c r="AJ26" s="8" t="s">
        <v>787</v>
      </c>
      <c r="AK26" s="8" t="s">
        <v>537</v>
      </c>
      <c r="AL26" s="71" t="s">
        <v>948</v>
      </c>
      <c r="AM26" s="72" t="s">
        <v>275</v>
      </c>
      <c r="AN26" s="51" t="s">
        <v>275</v>
      </c>
      <c r="AO26" s="51" t="s">
        <v>275</v>
      </c>
      <c r="AP26" s="51" t="s">
        <v>275</v>
      </c>
      <c r="AQ26" s="51" t="s">
        <v>275</v>
      </c>
      <c r="AR26" s="51" t="s">
        <v>275</v>
      </c>
      <c r="AS26" s="73" t="s">
        <v>275</v>
      </c>
    </row>
    <row r="27" spans="1:45" ht="19.5" customHeight="1" x14ac:dyDescent="0.35">
      <c r="A27" s="67" t="s">
        <v>29</v>
      </c>
      <c r="B27" s="3" t="s">
        <v>125</v>
      </c>
      <c r="C27" s="3">
        <v>2020</v>
      </c>
      <c r="D27" s="3" t="s">
        <v>185</v>
      </c>
      <c r="E27" s="3" t="s">
        <v>270</v>
      </c>
      <c r="F27" s="3" t="s">
        <v>275</v>
      </c>
      <c r="G27" s="8" t="s">
        <v>275</v>
      </c>
      <c r="H27" s="3" t="s">
        <v>275</v>
      </c>
      <c r="I27" s="3" t="s">
        <v>291</v>
      </c>
      <c r="J27" s="3" t="s">
        <v>285</v>
      </c>
      <c r="K27" s="3" t="s">
        <v>289</v>
      </c>
      <c r="L27" s="68">
        <v>1</v>
      </c>
      <c r="M27" s="51">
        <v>1</v>
      </c>
      <c r="N27" s="51">
        <v>0.5</v>
      </c>
      <c r="O27" s="51">
        <v>60</v>
      </c>
      <c r="P27" s="3" t="s">
        <v>338</v>
      </c>
      <c r="Q27" s="8" t="s">
        <v>353</v>
      </c>
      <c r="R27" s="8" t="s">
        <v>857</v>
      </c>
      <c r="S27" s="3" t="s">
        <v>326</v>
      </c>
      <c r="T27" s="3" t="s">
        <v>351</v>
      </c>
      <c r="U27" s="3" t="s">
        <v>387</v>
      </c>
      <c r="V27" s="8" t="s">
        <v>388</v>
      </c>
      <c r="W27" s="12" t="s">
        <v>692</v>
      </c>
      <c r="X27" s="8" t="s">
        <v>389</v>
      </c>
      <c r="Y27" s="8" t="s">
        <v>748</v>
      </c>
      <c r="Z27" s="8" t="s">
        <v>748</v>
      </c>
      <c r="AA27" s="8" t="s">
        <v>623</v>
      </c>
      <c r="AB27" s="69" t="s">
        <v>709</v>
      </c>
      <c r="AC27" s="3" t="s">
        <v>427</v>
      </c>
      <c r="AD27" s="3" t="s">
        <v>444</v>
      </c>
      <c r="AE27" s="3" t="s">
        <v>771</v>
      </c>
      <c r="AF27" s="3">
        <v>101</v>
      </c>
      <c r="AG27" s="70" t="s">
        <v>781</v>
      </c>
      <c r="AH27" s="8" t="s">
        <v>509</v>
      </c>
      <c r="AI27" s="3" t="s">
        <v>275</v>
      </c>
      <c r="AJ27" s="8" t="s">
        <v>275</v>
      </c>
      <c r="AK27" s="8" t="s">
        <v>275</v>
      </c>
      <c r="AL27" s="71" t="s">
        <v>948</v>
      </c>
      <c r="AM27" s="72" t="s">
        <v>275</v>
      </c>
      <c r="AN27" s="51" t="s">
        <v>275</v>
      </c>
      <c r="AO27" s="51" t="s">
        <v>275</v>
      </c>
      <c r="AP27" s="51" t="s">
        <v>275</v>
      </c>
      <c r="AQ27" s="51" t="s">
        <v>275</v>
      </c>
      <c r="AR27" s="51" t="s">
        <v>275</v>
      </c>
      <c r="AS27" s="73" t="s">
        <v>275</v>
      </c>
    </row>
    <row r="28" spans="1:45" ht="19.5" customHeight="1" x14ac:dyDescent="0.35">
      <c r="A28" s="67" t="s">
        <v>30</v>
      </c>
      <c r="B28" s="3" t="s">
        <v>126</v>
      </c>
      <c r="C28" s="3">
        <v>2022</v>
      </c>
      <c r="D28" s="3" t="s">
        <v>186</v>
      </c>
      <c r="E28" s="3" t="s">
        <v>923</v>
      </c>
      <c r="F28" s="3">
        <v>30</v>
      </c>
      <c r="G28" s="8" t="s">
        <v>275</v>
      </c>
      <c r="H28" s="3" t="s">
        <v>275</v>
      </c>
      <c r="I28" s="3" t="s">
        <v>290</v>
      </c>
      <c r="J28" s="3" t="s">
        <v>302</v>
      </c>
      <c r="K28" s="3" t="s">
        <v>294</v>
      </c>
      <c r="L28" s="68">
        <v>3</v>
      </c>
      <c r="M28" s="51">
        <v>1</v>
      </c>
      <c r="N28" s="51">
        <v>3</v>
      </c>
      <c r="O28" s="51">
        <v>15</v>
      </c>
      <c r="P28" s="3" t="s">
        <v>338</v>
      </c>
      <c r="Q28" s="8" t="s">
        <v>324</v>
      </c>
      <c r="R28" s="8" t="s">
        <v>325</v>
      </c>
      <c r="S28" s="3" t="s">
        <v>326</v>
      </c>
      <c r="T28" s="3" t="s">
        <v>354</v>
      </c>
      <c r="U28" s="3" t="s">
        <v>387</v>
      </c>
      <c r="V28" s="8" t="s">
        <v>403</v>
      </c>
      <c r="W28" s="12" t="s">
        <v>275</v>
      </c>
      <c r="X28" s="8" t="s">
        <v>389</v>
      </c>
      <c r="Y28" s="8" t="s">
        <v>748</v>
      </c>
      <c r="Z28" s="8" t="s">
        <v>748</v>
      </c>
      <c r="AA28" s="8" t="s">
        <v>623</v>
      </c>
      <c r="AB28" s="69" t="s">
        <v>713</v>
      </c>
      <c r="AC28" s="3" t="s">
        <v>763</v>
      </c>
      <c r="AD28" s="3" t="s">
        <v>419</v>
      </c>
      <c r="AE28" s="3" t="s">
        <v>770</v>
      </c>
      <c r="AF28" s="3" t="s">
        <v>446</v>
      </c>
      <c r="AG28" s="70" t="s">
        <v>482</v>
      </c>
      <c r="AH28" s="8" t="s">
        <v>497</v>
      </c>
      <c r="AI28" s="3" t="s">
        <v>502</v>
      </c>
      <c r="AJ28" s="8" t="s">
        <v>789</v>
      </c>
      <c r="AK28" s="8" t="s">
        <v>539</v>
      </c>
      <c r="AL28" s="71" t="s">
        <v>948</v>
      </c>
      <c r="AM28" s="72" t="s">
        <v>275</v>
      </c>
      <c r="AN28" s="51" t="s">
        <v>275</v>
      </c>
      <c r="AO28" s="51" t="s">
        <v>275</v>
      </c>
      <c r="AP28" s="51" t="s">
        <v>275</v>
      </c>
      <c r="AQ28" s="51" t="s">
        <v>275</v>
      </c>
      <c r="AR28" s="51" t="s">
        <v>275</v>
      </c>
      <c r="AS28" s="73" t="s">
        <v>275</v>
      </c>
    </row>
    <row r="29" spans="1:45" ht="19.5" customHeight="1" x14ac:dyDescent="0.35">
      <c r="A29" s="67" t="s">
        <v>31</v>
      </c>
      <c r="B29" s="3" t="s">
        <v>151</v>
      </c>
      <c r="C29" s="3">
        <v>2023</v>
      </c>
      <c r="D29" s="3" t="s">
        <v>186</v>
      </c>
      <c r="E29" s="3" t="s">
        <v>269</v>
      </c>
      <c r="F29" s="3">
        <v>36</v>
      </c>
      <c r="G29" s="8" t="s">
        <v>275</v>
      </c>
      <c r="H29" s="3" t="s">
        <v>275</v>
      </c>
      <c r="I29" s="3" t="s">
        <v>291</v>
      </c>
      <c r="J29" s="3">
        <v>2020</v>
      </c>
      <c r="K29" s="3" t="s">
        <v>283</v>
      </c>
      <c r="L29" s="68">
        <v>1</v>
      </c>
      <c r="M29" s="51">
        <v>0.5</v>
      </c>
      <c r="N29" s="51">
        <v>0.5</v>
      </c>
      <c r="O29" s="51">
        <v>12</v>
      </c>
      <c r="P29" s="3" t="s">
        <v>338</v>
      </c>
      <c r="Q29" s="8" t="s">
        <v>353</v>
      </c>
      <c r="R29" s="8" t="s">
        <v>857</v>
      </c>
      <c r="S29" s="3" t="s">
        <v>332</v>
      </c>
      <c r="T29" s="3" t="s">
        <v>333</v>
      </c>
      <c r="U29" s="3" t="s">
        <v>390</v>
      </c>
      <c r="V29" s="8" t="s">
        <v>391</v>
      </c>
      <c r="W29" s="12" t="s">
        <v>275</v>
      </c>
      <c r="X29" s="8" t="s">
        <v>389</v>
      </c>
      <c r="Y29" s="8" t="s">
        <v>748</v>
      </c>
      <c r="Z29" s="8" t="s">
        <v>748</v>
      </c>
      <c r="AA29" s="8" t="s">
        <v>623</v>
      </c>
      <c r="AB29" s="69" t="s">
        <v>709</v>
      </c>
      <c r="AC29" s="3" t="s">
        <v>427</v>
      </c>
      <c r="AD29" s="3" t="s">
        <v>419</v>
      </c>
      <c r="AE29" s="3" t="s">
        <v>770</v>
      </c>
      <c r="AF29" s="3">
        <v>124</v>
      </c>
      <c r="AG29" s="70" t="s">
        <v>482</v>
      </c>
      <c r="AH29" s="8" t="s">
        <v>497</v>
      </c>
      <c r="AI29" s="3" t="s">
        <v>502</v>
      </c>
      <c r="AJ29" s="8" t="s">
        <v>789</v>
      </c>
      <c r="AK29" s="8" t="s">
        <v>593</v>
      </c>
      <c r="AL29" s="71" t="s">
        <v>948</v>
      </c>
      <c r="AM29" s="72" t="s">
        <v>680</v>
      </c>
      <c r="AN29" s="51">
        <v>5</v>
      </c>
      <c r="AO29" s="51">
        <v>19</v>
      </c>
      <c r="AP29" s="51">
        <v>17</v>
      </c>
      <c r="AQ29" s="51">
        <v>1.1200000000000001</v>
      </c>
      <c r="AR29" s="51">
        <v>14</v>
      </c>
      <c r="AS29" s="73" t="s">
        <v>611</v>
      </c>
    </row>
    <row r="30" spans="1:45" ht="19.5" customHeight="1" x14ac:dyDescent="0.35">
      <c r="A30" s="67" t="s">
        <v>32</v>
      </c>
      <c r="B30" s="3" t="s">
        <v>127</v>
      </c>
      <c r="C30" s="3">
        <v>2015</v>
      </c>
      <c r="D30" s="3" t="s">
        <v>189</v>
      </c>
      <c r="E30" s="3" t="s">
        <v>270</v>
      </c>
      <c r="F30" s="3">
        <v>0.24</v>
      </c>
      <c r="G30" s="9">
        <v>4.8500000000000001E-2</v>
      </c>
      <c r="H30" s="3">
        <v>0.24</v>
      </c>
      <c r="I30" s="3" t="s">
        <v>287</v>
      </c>
      <c r="J30" s="3">
        <v>2012</v>
      </c>
      <c r="K30" s="3" t="s">
        <v>283</v>
      </c>
      <c r="L30" s="68">
        <v>1</v>
      </c>
      <c r="M30" s="51">
        <v>6</v>
      </c>
      <c r="N30" s="51">
        <v>6</v>
      </c>
      <c r="O30" s="51">
        <v>9</v>
      </c>
      <c r="P30" s="3" t="s">
        <v>338</v>
      </c>
      <c r="Q30" s="8" t="s">
        <v>339</v>
      </c>
      <c r="R30" s="8" t="s">
        <v>325</v>
      </c>
      <c r="S30" s="3" t="s">
        <v>340</v>
      </c>
      <c r="T30" s="3" t="s">
        <v>333</v>
      </c>
      <c r="U30" s="3" t="s">
        <v>387</v>
      </c>
      <c r="V30" s="8" t="s">
        <v>393</v>
      </c>
      <c r="W30" s="12" t="s">
        <v>275</v>
      </c>
      <c r="X30" s="8" t="s">
        <v>404</v>
      </c>
      <c r="Y30" s="8" t="s">
        <v>754</v>
      </c>
      <c r="Z30" s="8" t="s">
        <v>754</v>
      </c>
      <c r="AA30" s="8" t="s">
        <v>623</v>
      </c>
      <c r="AB30" s="69" t="s">
        <v>714</v>
      </c>
      <c r="AC30" s="3" t="s">
        <v>758</v>
      </c>
      <c r="AD30" s="3" t="s">
        <v>444</v>
      </c>
      <c r="AE30" s="3" t="s">
        <v>771</v>
      </c>
      <c r="AF30" s="3">
        <v>90</v>
      </c>
      <c r="AG30" s="70" t="s">
        <v>781</v>
      </c>
      <c r="AH30" s="8" t="s">
        <v>275</v>
      </c>
      <c r="AI30" s="3" t="s">
        <v>275</v>
      </c>
      <c r="AJ30" s="8" t="s">
        <v>275</v>
      </c>
      <c r="AK30" s="8" t="s">
        <v>275</v>
      </c>
      <c r="AL30" s="71" t="s">
        <v>948</v>
      </c>
      <c r="AM30" s="72" t="s">
        <v>642</v>
      </c>
      <c r="AN30" s="51" t="s">
        <v>275</v>
      </c>
      <c r="AO30" s="51" t="s">
        <v>275</v>
      </c>
      <c r="AP30" s="51" t="s">
        <v>275</v>
      </c>
      <c r="AQ30" s="51" t="s">
        <v>275</v>
      </c>
      <c r="AR30" s="51" t="s">
        <v>275</v>
      </c>
      <c r="AS30" s="73" t="s">
        <v>275</v>
      </c>
    </row>
    <row r="31" spans="1:45" ht="19.5" customHeight="1" x14ac:dyDescent="0.35">
      <c r="A31" s="67" t="s">
        <v>33</v>
      </c>
      <c r="B31" s="3" t="s">
        <v>926</v>
      </c>
      <c r="C31" s="3">
        <v>2016</v>
      </c>
      <c r="D31" s="3" t="s">
        <v>185</v>
      </c>
      <c r="E31" s="3" t="s">
        <v>269</v>
      </c>
      <c r="F31" s="3">
        <v>36</v>
      </c>
      <c r="G31" s="8" t="s">
        <v>275</v>
      </c>
      <c r="H31" s="3" t="s">
        <v>303</v>
      </c>
      <c r="I31" s="3" t="s">
        <v>291</v>
      </c>
      <c r="J31" s="3" t="s">
        <v>304</v>
      </c>
      <c r="K31" s="3" t="s">
        <v>283</v>
      </c>
      <c r="L31" s="68">
        <v>3</v>
      </c>
      <c r="M31" s="51">
        <v>0.5</v>
      </c>
      <c r="N31" s="51">
        <v>0.5</v>
      </c>
      <c r="O31" s="51">
        <v>12</v>
      </c>
      <c r="P31" s="3" t="s">
        <v>338</v>
      </c>
      <c r="Q31" s="8" t="s">
        <v>356</v>
      </c>
      <c r="R31" s="8" t="s">
        <v>857</v>
      </c>
      <c r="S31" s="3" t="s">
        <v>326</v>
      </c>
      <c r="T31" s="3" t="s">
        <v>275</v>
      </c>
      <c r="U31" s="3" t="s">
        <v>387</v>
      </c>
      <c r="V31" s="8" t="s">
        <v>393</v>
      </c>
      <c r="W31" s="12" t="s">
        <v>692</v>
      </c>
      <c r="X31" s="8" t="s">
        <v>397</v>
      </c>
      <c r="Y31" s="8" t="s">
        <v>752</v>
      </c>
      <c r="Z31" s="8" t="s">
        <v>752</v>
      </c>
      <c r="AA31" s="8" t="s">
        <v>623</v>
      </c>
      <c r="AB31" s="69" t="s">
        <v>715</v>
      </c>
      <c r="AC31" s="3" t="s">
        <v>427</v>
      </c>
      <c r="AD31" s="3" t="s">
        <v>444</v>
      </c>
      <c r="AE31" s="3" t="s">
        <v>771</v>
      </c>
      <c r="AF31" s="3">
        <v>125</v>
      </c>
      <c r="AG31" s="70" t="s">
        <v>781</v>
      </c>
      <c r="AH31" s="8" t="s">
        <v>275</v>
      </c>
      <c r="AI31" s="3" t="s">
        <v>275</v>
      </c>
      <c r="AJ31" s="8" t="s">
        <v>275</v>
      </c>
      <c r="AK31" s="8" t="s">
        <v>275</v>
      </c>
      <c r="AL31" s="71" t="s">
        <v>948</v>
      </c>
      <c r="AM31" s="72" t="s">
        <v>643</v>
      </c>
      <c r="AN31" s="51" t="s">
        <v>275</v>
      </c>
      <c r="AO31" s="51" t="s">
        <v>275</v>
      </c>
      <c r="AP31" s="51" t="s">
        <v>275</v>
      </c>
      <c r="AQ31" s="51" t="s">
        <v>275</v>
      </c>
      <c r="AR31" s="51" t="s">
        <v>275</v>
      </c>
      <c r="AS31" s="73" t="s">
        <v>275</v>
      </c>
    </row>
    <row r="32" spans="1:45" ht="19.5" customHeight="1" x14ac:dyDescent="0.35">
      <c r="A32" s="67" t="s">
        <v>34</v>
      </c>
      <c r="B32" s="3" t="s">
        <v>128</v>
      </c>
      <c r="C32" s="3">
        <v>2026</v>
      </c>
      <c r="D32" s="3" t="s">
        <v>185</v>
      </c>
      <c r="E32" s="3" t="s">
        <v>270</v>
      </c>
      <c r="F32" s="3" t="s">
        <v>275</v>
      </c>
      <c r="G32" s="8" t="s">
        <v>275</v>
      </c>
      <c r="H32" s="3" t="s">
        <v>275</v>
      </c>
      <c r="I32" s="3" t="s">
        <v>288</v>
      </c>
      <c r="J32" s="3" t="s">
        <v>305</v>
      </c>
      <c r="K32" s="3" t="s">
        <v>294</v>
      </c>
      <c r="L32" s="68">
        <v>2</v>
      </c>
      <c r="M32" s="51">
        <v>30</v>
      </c>
      <c r="N32" s="51">
        <v>60</v>
      </c>
      <c r="O32" s="51">
        <v>48</v>
      </c>
      <c r="P32" s="3" t="s">
        <v>338</v>
      </c>
      <c r="Q32" s="8" t="s">
        <v>339</v>
      </c>
      <c r="R32" s="8" t="s">
        <v>857</v>
      </c>
      <c r="S32" s="3" t="s">
        <v>340</v>
      </c>
      <c r="T32" s="3" t="s">
        <v>333</v>
      </c>
      <c r="U32" s="3" t="s">
        <v>390</v>
      </c>
      <c r="V32" s="8" t="s">
        <v>391</v>
      </c>
      <c r="W32" s="12" t="s">
        <v>275</v>
      </c>
      <c r="X32" s="8" t="s">
        <v>389</v>
      </c>
      <c r="Y32" s="8" t="s">
        <v>748</v>
      </c>
      <c r="Z32" s="8" t="s">
        <v>748</v>
      </c>
      <c r="AA32" s="8" t="s">
        <v>623</v>
      </c>
      <c r="AB32" s="69" t="s">
        <v>708</v>
      </c>
      <c r="AC32" s="3" t="s">
        <v>760</v>
      </c>
      <c r="AD32" s="3" t="s">
        <v>444</v>
      </c>
      <c r="AE32" s="3" t="s">
        <v>774</v>
      </c>
      <c r="AF32" s="3">
        <v>420</v>
      </c>
      <c r="AG32" s="70" t="s">
        <v>482</v>
      </c>
      <c r="AH32" s="8" t="s">
        <v>497</v>
      </c>
      <c r="AI32" s="3" t="s">
        <v>494</v>
      </c>
      <c r="AJ32" s="8" t="s">
        <v>787</v>
      </c>
      <c r="AK32" s="8" t="s">
        <v>542</v>
      </c>
      <c r="AL32" s="71" t="s">
        <v>948</v>
      </c>
      <c r="AM32" s="72" t="s">
        <v>275</v>
      </c>
      <c r="AN32" s="51" t="s">
        <v>275</v>
      </c>
      <c r="AO32" s="51" t="s">
        <v>275</v>
      </c>
      <c r="AP32" s="51" t="s">
        <v>275</v>
      </c>
      <c r="AQ32" s="51" t="s">
        <v>275</v>
      </c>
      <c r="AR32" s="51" t="s">
        <v>275</v>
      </c>
      <c r="AS32" s="73" t="s">
        <v>275</v>
      </c>
    </row>
    <row r="33" spans="1:45" ht="19.5" customHeight="1" x14ac:dyDescent="0.35">
      <c r="A33" s="67" t="s">
        <v>35</v>
      </c>
      <c r="B33" s="3" t="s">
        <v>129</v>
      </c>
      <c r="C33" s="3">
        <v>2019</v>
      </c>
      <c r="D33" s="3" t="s">
        <v>185</v>
      </c>
      <c r="E33" s="3" t="s">
        <v>269</v>
      </c>
      <c r="F33" s="3" t="s">
        <v>275</v>
      </c>
      <c r="G33" s="8" t="s">
        <v>306</v>
      </c>
      <c r="H33" s="3" t="s">
        <v>275</v>
      </c>
      <c r="I33" s="3" t="s">
        <v>287</v>
      </c>
      <c r="J33" s="3">
        <v>2017</v>
      </c>
      <c r="K33" s="3" t="s">
        <v>283</v>
      </c>
      <c r="L33" s="68">
        <v>6</v>
      </c>
      <c r="M33" s="51">
        <v>0.25</v>
      </c>
      <c r="N33" s="51">
        <v>1.5</v>
      </c>
      <c r="O33" s="51">
        <v>11</v>
      </c>
      <c r="P33" s="3" t="s">
        <v>338</v>
      </c>
      <c r="Q33" s="8" t="s">
        <v>353</v>
      </c>
      <c r="R33" s="8" t="s">
        <v>857</v>
      </c>
      <c r="S33" s="3" t="s">
        <v>332</v>
      </c>
      <c r="T33" s="3" t="s">
        <v>333</v>
      </c>
      <c r="U33" s="3" t="s">
        <v>387</v>
      </c>
      <c r="V33" s="8" t="s">
        <v>393</v>
      </c>
      <c r="W33" s="12" t="s">
        <v>275</v>
      </c>
      <c r="X33" s="8" t="s">
        <v>397</v>
      </c>
      <c r="Y33" s="8" t="s">
        <v>752</v>
      </c>
      <c r="Z33" s="8" t="s">
        <v>752</v>
      </c>
      <c r="AA33" s="8" t="s">
        <v>623</v>
      </c>
      <c r="AB33" s="69" t="s">
        <v>716</v>
      </c>
      <c r="AC33" s="3" t="s">
        <v>762</v>
      </c>
      <c r="AD33" s="3" t="s">
        <v>449</v>
      </c>
      <c r="AE33" s="3" t="s">
        <v>775</v>
      </c>
      <c r="AF33" s="3" t="s">
        <v>451</v>
      </c>
      <c r="AG33" s="70" t="s">
        <v>482</v>
      </c>
      <c r="AH33" s="8" t="s">
        <v>497</v>
      </c>
      <c r="AI33" s="3" t="s">
        <v>502</v>
      </c>
      <c r="AJ33" s="8" t="s">
        <v>791</v>
      </c>
      <c r="AK33" s="8" t="s">
        <v>545</v>
      </c>
      <c r="AL33" s="71" t="s">
        <v>947</v>
      </c>
      <c r="AM33" s="72" t="s">
        <v>644</v>
      </c>
      <c r="AN33" s="51" t="s">
        <v>275</v>
      </c>
      <c r="AO33" s="51">
        <v>23</v>
      </c>
      <c r="AP33" s="51">
        <v>43</v>
      </c>
      <c r="AQ33" s="51">
        <v>0.53</v>
      </c>
      <c r="AR33" s="51">
        <v>23</v>
      </c>
      <c r="AS33" s="73" t="s">
        <v>623</v>
      </c>
    </row>
    <row r="34" spans="1:45" ht="19.5" customHeight="1" x14ac:dyDescent="0.35">
      <c r="A34" s="67" t="s">
        <v>36</v>
      </c>
      <c r="B34" s="3" t="s">
        <v>130</v>
      </c>
      <c r="C34" s="3">
        <v>2024</v>
      </c>
      <c r="D34" s="3" t="s">
        <v>189</v>
      </c>
      <c r="E34" s="3" t="s">
        <v>270</v>
      </c>
      <c r="F34" s="3" t="s">
        <v>278</v>
      </c>
      <c r="G34" s="8" t="s">
        <v>307</v>
      </c>
      <c r="H34" s="3" t="s">
        <v>275</v>
      </c>
      <c r="I34" s="3" t="s">
        <v>288</v>
      </c>
      <c r="J34" s="3" t="s">
        <v>302</v>
      </c>
      <c r="K34" s="3" t="s">
        <v>294</v>
      </c>
      <c r="L34" s="68">
        <v>9</v>
      </c>
      <c r="M34" s="51">
        <v>0.5</v>
      </c>
      <c r="N34" s="51">
        <v>4.5</v>
      </c>
      <c r="O34" s="51">
        <v>19</v>
      </c>
      <c r="P34" s="3" t="s">
        <v>338</v>
      </c>
      <c r="Q34" s="8" t="s">
        <v>324</v>
      </c>
      <c r="R34" s="8" t="s">
        <v>325</v>
      </c>
      <c r="S34" s="3" t="s">
        <v>326</v>
      </c>
      <c r="T34" s="3" t="s">
        <v>360</v>
      </c>
      <c r="U34" s="3" t="s">
        <v>387</v>
      </c>
      <c r="V34" s="8" t="s">
        <v>388</v>
      </c>
      <c r="W34" s="12" t="s">
        <v>697</v>
      </c>
      <c r="X34" s="8" t="s">
        <v>389</v>
      </c>
      <c r="Y34" s="8" t="s">
        <v>748</v>
      </c>
      <c r="Z34" s="8" t="s">
        <v>748</v>
      </c>
      <c r="AA34" s="8" t="s">
        <v>623</v>
      </c>
      <c r="AB34" s="69" t="s">
        <v>275</v>
      </c>
      <c r="AC34" s="3" t="s">
        <v>427</v>
      </c>
      <c r="AD34" s="3" t="s">
        <v>452</v>
      </c>
      <c r="AE34" s="3" t="s">
        <v>776</v>
      </c>
      <c r="AF34" s="3" t="s">
        <v>275</v>
      </c>
      <c r="AG34" s="70" t="s">
        <v>482</v>
      </c>
      <c r="AH34" s="8" t="s">
        <v>497</v>
      </c>
      <c r="AI34" s="3" t="s">
        <v>502</v>
      </c>
      <c r="AJ34" s="8" t="s">
        <v>789</v>
      </c>
      <c r="AK34" s="8" t="s">
        <v>549</v>
      </c>
      <c r="AL34" s="71" t="s">
        <v>949</v>
      </c>
      <c r="AM34" s="72" t="s">
        <v>645</v>
      </c>
      <c r="AN34" s="51">
        <v>19</v>
      </c>
      <c r="AO34" s="51">
        <v>99</v>
      </c>
      <c r="AP34" s="51">
        <v>82</v>
      </c>
      <c r="AQ34" s="51">
        <v>1.21</v>
      </c>
      <c r="AR34" s="51">
        <v>76</v>
      </c>
      <c r="AS34" s="73" t="s">
        <v>611</v>
      </c>
    </row>
    <row r="35" spans="1:45" ht="19.5" customHeight="1" x14ac:dyDescent="0.35">
      <c r="A35" s="67" t="s">
        <v>37</v>
      </c>
      <c r="B35" s="3" t="s">
        <v>131</v>
      </c>
      <c r="C35" s="3">
        <v>2024</v>
      </c>
      <c r="D35" s="3" t="s">
        <v>186</v>
      </c>
      <c r="E35" s="3" t="s">
        <v>270</v>
      </c>
      <c r="F35" s="3">
        <v>0.1</v>
      </c>
      <c r="G35" s="8">
        <v>4.49</v>
      </c>
      <c r="H35" s="3" t="s">
        <v>275</v>
      </c>
      <c r="I35" s="3" t="s">
        <v>288</v>
      </c>
      <c r="J35" s="3">
        <v>2023</v>
      </c>
      <c r="K35" s="3" t="s">
        <v>294</v>
      </c>
      <c r="L35" s="68">
        <v>3</v>
      </c>
      <c r="M35" s="51">
        <v>2</v>
      </c>
      <c r="N35" s="51">
        <v>6</v>
      </c>
      <c r="O35" s="51">
        <v>9</v>
      </c>
      <c r="P35" s="3" t="s">
        <v>338</v>
      </c>
      <c r="Q35" s="8" t="s">
        <v>324</v>
      </c>
      <c r="R35" s="8" t="s">
        <v>857</v>
      </c>
      <c r="S35" s="3" t="s">
        <v>326</v>
      </c>
      <c r="T35" s="3" t="s">
        <v>361</v>
      </c>
      <c r="U35" s="3" t="s">
        <v>387</v>
      </c>
      <c r="V35" s="8" t="s">
        <v>403</v>
      </c>
      <c r="W35" s="12" t="s">
        <v>698</v>
      </c>
      <c r="X35" s="8" t="s">
        <v>389</v>
      </c>
      <c r="Y35" s="8" t="s">
        <v>748</v>
      </c>
      <c r="Z35" s="8" t="s">
        <v>748</v>
      </c>
      <c r="AA35" s="8" t="s">
        <v>623</v>
      </c>
      <c r="AB35" s="69" t="s">
        <v>717</v>
      </c>
      <c r="AC35" s="3" t="s">
        <v>758</v>
      </c>
      <c r="AD35" s="3" t="s">
        <v>419</v>
      </c>
      <c r="AE35" s="3" t="s">
        <v>772</v>
      </c>
      <c r="AF35" s="3" t="s">
        <v>275</v>
      </c>
      <c r="AG35" s="70" t="s">
        <v>482</v>
      </c>
      <c r="AH35" s="8" t="s">
        <v>784</v>
      </c>
      <c r="AI35" s="3" t="s">
        <v>502</v>
      </c>
      <c r="AJ35" s="8" t="s">
        <v>789</v>
      </c>
      <c r="AK35" s="8" t="s">
        <v>794</v>
      </c>
      <c r="AL35" s="71" t="s">
        <v>949</v>
      </c>
      <c r="AM35" s="72" t="s">
        <v>613</v>
      </c>
      <c r="AN35" s="51">
        <v>9</v>
      </c>
      <c r="AO35" s="51">
        <v>42</v>
      </c>
      <c r="AP35" s="51">
        <v>34</v>
      </c>
      <c r="AQ35" s="51">
        <v>1.24</v>
      </c>
      <c r="AR35" s="51">
        <v>17</v>
      </c>
      <c r="AS35" s="73" t="s">
        <v>611</v>
      </c>
    </row>
    <row r="36" spans="1:45" ht="19.5" customHeight="1" x14ac:dyDescent="0.35">
      <c r="A36" s="67" t="s">
        <v>38</v>
      </c>
      <c r="B36" s="3" t="s">
        <v>132</v>
      </c>
      <c r="C36" s="3">
        <v>2025</v>
      </c>
      <c r="D36" s="3" t="s">
        <v>186</v>
      </c>
      <c r="E36" s="3" t="s">
        <v>269</v>
      </c>
      <c r="F36" s="3" t="s">
        <v>275</v>
      </c>
      <c r="G36" s="8" t="s">
        <v>275</v>
      </c>
      <c r="H36" s="3" t="s">
        <v>275</v>
      </c>
      <c r="I36" s="3" t="s">
        <v>290</v>
      </c>
      <c r="J36" s="3">
        <v>2023</v>
      </c>
      <c r="K36" s="3" t="s">
        <v>294</v>
      </c>
      <c r="L36" s="68">
        <v>1</v>
      </c>
      <c r="M36" s="51">
        <v>2.5</v>
      </c>
      <c r="N36" s="51">
        <v>2.5</v>
      </c>
      <c r="O36" s="51">
        <v>14</v>
      </c>
      <c r="P36" s="3" t="s">
        <v>338</v>
      </c>
      <c r="Q36" s="8" t="s">
        <v>324</v>
      </c>
      <c r="R36" s="8" t="s">
        <v>857</v>
      </c>
      <c r="S36" s="3" t="s">
        <v>340</v>
      </c>
      <c r="T36" s="3" t="s">
        <v>333</v>
      </c>
      <c r="U36" s="3" t="s">
        <v>387</v>
      </c>
      <c r="V36" s="8" t="s">
        <v>403</v>
      </c>
      <c r="W36" s="12" t="s">
        <v>275</v>
      </c>
      <c r="X36" s="8" t="s">
        <v>389</v>
      </c>
      <c r="Y36" s="8" t="s">
        <v>748</v>
      </c>
      <c r="Z36" s="8" t="s">
        <v>748</v>
      </c>
      <c r="AA36" s="8" t="s">
        <v>623</v>
      </c>
      <c r="AB36" s="69" t="s">
        <v>275</v>
      </c>
      <c r="AC36" s="3" t="s">
        <v>763</v>
      </c>
      <c r="AD36" s="3" t="s">
        <v>440</v>
      </c>
      <c r="AE36" s="3" t="s">
        <v>777</v>
      </c>
      <c r="AF36" s="3" t="s">
        <v>275</v>
      </c>
      <c r="AG36" s="70" t="s">
        <v>482</v>
      </c>
      <c r="AH36" s="8" t="s">
        <v>497</v>
      </c>
      <c r="AI36" s="3" t="s">
        <v>502</v>
      </c>
      <c r="AJ36" s="8" t="s">
        <v>788</v>
      </c>
      <c r="AK36" s="8" t="s">
        <v>554</v>
      </c>
      <c r="AL36" s="71" t="s">
        <v>275</v>
      </c>
      <c r="AM36" s="72" t="s">
        <v>649</v>
      </c>
      <c r="AN36" s="51">
        <v>14</v>
      </c>
      <c r="AO36" s="51">
        <v>72</v>
      </c>
      <c r="AP36" s="51">
        <v>40</v>
      </c>
      <c r="AQ36" s="51">
        <v>1.8</v>
      </c>
      <c r="AR36" s="51"/>
      <c r="AS36" s="73" t="s">
        <v>611</v>
      </c>
    </row>
    <row r="37" spans="1:45" ht="19.5" customHeight="1" x14ac:dyDescent="0.35">
      <c r="A37" s="67" t="s">
        <v>39</v>
      </c>
      <c r="B37" s="3" t="s">
        <v>133</v>
      </c>
      <c r="C37" s="3">
        <v>2019</v>
      </c>
      <c r="D37" s="3" t="s">
        <v>185</v>
      </c>
      <c r="E37" s="3" t="s">
        <v>270</v>
      </c>
      <c r="F37" s="3" t="s">
        <v>275</v>
      </c>
      <c r="G37" s="8" t="s">
        <v>275</v>
      </c>
      <c r="H37" s="3" t="s">
        <v>275</v>
      </c>
      <c r="I37" s="3" t="s">
        <v>290</v>
      </c>
      <c r="J37" s="3">
        <v>2016</v>
      </c>
      <c r="K37" s="3" t="s">
        <v>294</v>
      </c>
      <c r="L37" s="68">
        <v>3</v>
      </c>
      <c r="M37" s="51">
        <v>0.25</v>
      </c>
      <c r="N37" s="51">
        <v>0.75</v>
      </c>
      <c r="O37" s="51">
        <v>61</v>
      </c>
      <c r="P37" s="3" t="s">
        <v>338</v>
      </c>
      <c r="Q37" s="8" t="s">
        <v>353</v>
      </c>
      <c r="R37" s="8" t="s">
        <v>857</v>
      </c>
      <c r="S37" s="3" t="s">
        <v>332</v>
      </c>
      <c r="T37" s="3" t="s">
        <v>333</v>
      </c>
      <c r="U37" s="3" t="s">
        <v>387</v>
      </c>
      <c r="V37" s="8" t="s">
        <v>393</v>
      </c>
      <c r="W37" s="12" t="s">
        <v>699</v>
      </c>
      <c r="X37" s="8" t="s">
        <v>397</v>
      </c>
      <c r="Y37" s="8" t="s">
        <v>752</v>
      </c>
      <c r="Z37" s="8" t="s">
        <v>752</v>
      </c>
      <c r="AA37" s="8" t="s">
        <v>623</v>
      </c>
      <c r="AB37" s="69" t="s">
        <v>709</v>
      </c>
      <c r="AC37" s="3" t="s">
        <v>427</v>
      </c>
      <c r="AD37" s="3" t="s">
        <v>417</v>
      </c>
      <c r="AE37" s="3" t="s">
        <v>773</v>
      </c>
      <c r="AF37" s="3">
        <v>313</v>
      </c>
      <c r="AG37" s="70" t="s">
        <v>482</v>
      </c>
      <c r="AH37" s="8" t="s">
        <v>497</v>
      </c>
      <c r="AI37" s="3" t="s">
        <v>494</v>
      </c>
      <c r="AJ37" s="8" t="s">
        <v>788</v>
      </c>
      <c r="AK37" s="8" t="s">
        <v>557</v>
      </c>
      <c r="AL37" s="71" t="s">
        <v>949</v>
      </c>
      <c r="AM37" s="72" t="s">
        <v>651</v>
      </c>
      <c r="AN37" s="51">
        <v>61</v>
      </c>
      <c r="AO37" s="51">
        <v>42</v>
      </c>
      <c r="AP37" s="51">
        <v>47</v>
      </c>
      <c r="AQ37" s="51">
        <v>0.89</v>
      </c>
      <c r="AR37" s="51">
        <v>36</v>
      </c>
      <c r="AS37" s="73" t="s">
        <v>623</v>
      </c>
    </row>
    <row r="38" spans="1:45" ht="19.5" customHeight="1" x14ac:dyDescent="0.35">
      <c r="A38" s="67" t="s">
        <v>40</v>
      </c>
      <c r="B38" s="3" t="s">
        <v>154</v>
      </c>
      <c r="C38" s="3">
        <v>2024</v>
      </c>
      <c r="D38" s="3" t="s">
        <v>189</v>
      </c>
      <c r="E38" s="3" t="s">
        <v>269</v>
      </c>
      <c r="F38" s="3">
        <v>350</v>
      </c>
      <c r="G38" s="8">
        <v>10000</v>
      </c>
      <c r="H38" s="3" t="s">
        <v>275</v>
      </c>
      <c r="I38" s="3" t="s">
        <v>287</v>
      </c>
      <c r="J38" s="3">
        <v>2021</v>
      </c>
      <c r="K38" s="3" t="s">
        <v>283</v>
      </c>
      <c r="L38" s="68">
        <v>3</v>
      </c>
      <c r="M38" s="51">
        <v>1</v>
      </c>
      <c r="N38" s="51">
        <v>3</v>
      </c>
      <c r="O38" s="51">
        <v>48</v>
      </c>
      <c r="P38" s="3" t="s">
        <v>341</v>
      </c>
      <c r="Q38" s="8" t="s">
        <v>324</v>
      </c>
      <c r="R38" s="8" t="s">
        <v>857</v>
      </c>
      <c r="S38" s="3" t="s">
        <v>332</v>
      </c>
      <c r="T38" s="3" t="s">
        <v>333</v>
      </c>
      <c r="U38" s="3" t="s">
        <v>387</v>
      </c>
      <c r="V38" s="8" t="s">
        <v>414</v>
      </c>
      <c r="W38" s="12" t="s">
        <v>275</v>
      </c>
      <c r="X38" s="8" t="s">
        <v>409</v>
      </c>
      <c r="Y38" s="8" t="s">
        <v>630</v>
      </c>
      <c r="Z38" s="8" t="s">
        <v>630</v>
      </c>
      <c r="AA38" s="8" t="s">
        <v>623</v>
      </c>
      <c r="AB38" s="69" t="s">
        <v>728</v>
      </c>
      <c r="AC38" s="3" t="s">
        <v>762</v>
      </c>
      <c r="AD38" s="3" t="s">
        <v>419</v>
      </c>
      <c r="AE38" s="3" t="s">
        <v>770</v>
      </c>
      <c r="AF38" s="3">
        <v>286</v>
      </c>
      <c r="AG38" s="70" t="s">
        <v>482</v>
      </c>
      <c r="AH38" s="8" t="s">
        <v>497</v>
      </c>
      <c r="AI38" s="3" t="s">
        <v>275</v>
      </c>
      <c r="AJ38" s="8" t="s">
        <v>791</v>
      </c>
      <c r="AK38" s="8" t="s">
        <v>602</v>
      </c>
      <c r="AL38" s="71" t="s">
        <v>949</v>
      </c>
      <c r="AM38" s="72" t="s">
        <v>687</v>
      </c>
      <c r="AN38" s="51">
        <v>48</v>
      </c>
      <c r="AO38" s="51">
        <v>67</v>
      </c>
      <c r="AP38" s="51">
        <v>38</v>
      </c>
      <c r="AQ38" s="51">
        <v>1.76</v>
      </c>
      <c r="AR38" s="51">
        <v>37</v>
      </c>
      <c r="AS38" s="73" t="s">
        <v>611</v>
      </c>
    </row>
    <row r="39" spans="1:45" ht="19.5" customHeight="1" x14ac:dyDescent="0.35">
      <c r="A39" s="67" t="s">
        <v>41</v>
      </c>
      <c r="B39" s="3" t="s">
        <v>155</v>
      </c>
      <c r="C39" s="3">
        <v>2021</v>
      </c>
      <c r="D39" s="3" t="s">
        <v>187</v>
      </c>
      <c r="E39" s="3" t="s">
        <v>270</v>
      </c>
      <c r="F39" s="3" t="s">
        <v>275</v>
      </c>
      <c r="G39" s="8" t="s">
        <v>275</v>
      </c>
      <c r="H39" s="3" t="s">
        <v>275</v>
      </c>
      <c r="I39" s="3" t="s">
        <v>281</v>
      </c>
      <c r="J39" s="3" t="s">
        <v>322</v>
      </c>
      <c r="K39" s="3" t="s">
        <v>283</v>
      </c>
      <c r="L39" s="68">
        <v>5</v>
      </c>
      <c r="M39" s="51">
        <v>0.4</v>
      </c>
      <c r="N39" s="51">
        <v>2</v>
      </c>
      <c r="O39" s="51">
        <v>25</v>
      </c>
      <c r="P39" s="8" t="s">
        <v>275</v>
      </c>
      <c r="Q39" s="8" t="s">
        <v>353</v>
      </c>
      <c r="R39" s="8" t="s">
        <v>857</v>
      </c>
      <c r="S39" s="3" t="s">
        <v>332</v>
      </c>
      <c r="T39" s="3" t="s">
        <v>333</v>
      </c>
      <c r="U39" s="3" t="s">
        <v>390</v>
      </c>
      <c r="V39" s="3" t="s">
        <v>275</v>
      </c>
      <c r="W39" s="12" t="s">
        <v>275</v>
      </c>
      <c r="X39" s="8" t="s">
        <v>396</v>
      </c>
      <c r="Y39" s="8" t="s">
        <v>751</v>
      </c>
      <c r="Z39" s="8" t="s">
        <v>751</v>
      </c>
      <c r="AA39" s="8" t="s">
        <v>623</v>
      </c>
      <c r="AB39" s="69" t="s">
        <v>709</v>
      </c>
      <c r="AC39" s="3" t="s">
        <v>427</v>
      </c>
      <c r="AD39" s="3" t="s">
        <v>419</v>
      </c>
      <c r="AE39" s="3" t="s">
        <v>780</v>
      </c>
      <c r="AF39" s="3" t="s">
        <v>481</v>
      </c>
      <c r="AG39" s="70" t="s">
        <v>482</v>
      </c>
      <c r="AH39" s="8" t="s">
        <v>497</v>
      </c>
      <c r="AI39" s="3" t="s">
        <v>502</v>
      </c>
      <c r="AJ39" s="8" t="s">
        <v>789</v>
      </c>
      <c r="AK39" s="8" t="s">
        <v>605</v>
      </c>
      <c r="AL39" s="71" t="s">
        <v>949</v>
      </c>
      <c r="AM39" s="72" t="s">
        <v>613</v>
      </c>
      <c r="AN39" s="51">
        <v>24</v>
      </c>
      <c r="AO39" s="51">
        <v>27</v>
      </c>
      <c r="AP39" s="51">
        <v>19</v>
      </c>
      <c r="AQ39" s="51">
        <v>1.42</v>
      </c>
      <c r="AR39" s="51">
        <v>19</v>
      </c>
      <c r="AS39" s="73" t="s">
        <v>611</v>
      </c>
    </row>
    <row r="40" spans="1:45" ht="19.5" customHeight="1" x14ac:dyDescent="0.35">
      <c r="A40" s="67" t="s">
        <v>42</v>
      </c>
      <c r="B40" s="3" t="s">
        <v>134</v>
      </c>
      <c r="C40" s="3">
        <v>2022</v>
      </c>
      <c r="D40" s="3" t="s">
        <v>185</v>
      </c>
      <c r="E40" s="3" t="s">
        <v>269</v>
      </c>
      <c r="F40" s="3">
        <v>2850</v>
      </c>
      <c r="G40" s="8">
        <v>6400</v>
      </c>
      <c r="H40" s="3" t="s">
        <v>275</v>
      </c>
      <c r="I40" s="3" t="s">
        <v>288</v>
      </c>
      <c r="J40" s="3">
        <v>2019</v>
      </c>
      <c r="K40" s="3" t="s">
        <v>283</v>
      </c>
      <c r="L40" s="68">
        <v>2</v>
      </c>
      <c r="M40" s="51">
        <v>28.73</v>
      </c>
      <c r="N40" s="51">
        <v>57</v>
      </c>
      <c r="O40" s="51">
        <v>47</v>
      </c>
      <c r="P40" s="3" t="s">
        <v>334</v>
      </c>
      <c r="Q40" s="8" t="s">
        <v>339</v>
      </c>
      <c r="R40" s="8" t="s">
        <v>857</v>
      </c>
      <c r="S40" s="3" t="s">
        <v>340</v>
      </c>
      <c r="T40" s="3" t="s">
        <v>333</v>
      </c>
      <c r="U40" s="3" t="s">
        <v>390</v>
      </c>
      <c r="V40" s="8" t="s">
        <v>391</v>
      </c>
      <c r="W40" s="12" t="s">
        <v>275</v>
      </c>
      <c r="X40" s="8" t="s">
        <v>389</v>
      </c>
      <c r="Y40" s="8" t="s">
        <v>748</v>
      </c>
      <c r="Z40" s="8" t="s">
        <v>748</v>
      </c>
      <c r="AA40" s="8" t="s">
        <v>623</v>
      </c>
      <c r="AB40" s="69" t="s">
        <v>708</v>
      </c>
      <c r="AC40" s="3" t="s">
        <v>760</v>
      </c>
      <c r="AD40" s="3" t="s">
        <v>419</v>
      </c>
      <c r="AE40" s="3" t="s">
        <v>772</v>
      </c>
      <c r="AF40" s="3">
        <v>60</v>
      </c>
      <c r="AG40" s="70" t="s">
        <v>482</v>
      </c>
      <c r="AH40" s="8" t="s">
        <v>497</v>
      </c>
      <c r="AI40" s="3" t="s">
        <v>502</v>
      </c>
      <c r="AJ40" s="8" t="s">
        <v>788</v>
      </c>
      <c r="AK40" s="8" t="s">
        <v>558</v>
      </c>
      <c r="AL40" s="71" t="s">
        <v>947</v>
      </c>
      <c r="AM40" s="72" t="s">
        <v>613</v>
      </c>
      <c r="AN40" s="51" t="s">
        <v>275</v>
      </c>
      <c r="AO40" s="51" t="s">
        <v>275</v>
      </c>
      <c r="AP40" s="51" t="s">
        <v>275</v>
      </c>
      <c r="AQ40" s="51" t="s">
        <v>275</v>
      </c>
      <c r="AR40" s="51" t="s">
        <v>275</v>
      </c>
      <c r="AS40" s="73" t="s">
        <v>275</v>
      </c>
    </row>
    <row r="41" spans="1:45" ht="19.5" customHeight="1" x14ac:dyDescent="0.35">
      <c r="A41" s="67" t="s">
        <v>43</v>
      </c>
      <c r="B41" s="3" t="s">
        <v>135</v>
      </c>
      <c r="C41" s="3">
        <v>2021</v>
      </c>
      <c r="D41" s="3" t="s">
        <v>185</v>
      </c>
      <c r="E41" s="3" t="s">
        <v>269</v>
      </c>
      <c r="F41" s="3" t="s">
        <v>279</v>
      </c>
      <c r="G41" s="8" t="s">
        <v>309</v>
      </c>
      <c r="H41" s="3" t="s">
        <v>275</v>
      </c>
      <c r="I41" s="3" t="s">
        <v>290</v>
      </c>
      <c r="J41" s="3" t="s">
        <v>310</v>
      </c>
      <c r="K41" s="3" t="s">
        <v>294</v>
      </c>
      <c r="L41" s="68">
        <v>3</v>
      </c>
      <c r="M41" s="51">
        <v>30</v>
      </c>
      <c r="N41" s="51">
        <v>90</v>
      </c>
      <c r="O41" s="51">
        <v>3</v>
      </c>
      <c r="P41" s="3" t="s">
        <v>334</v>
      </c>
      <c r="Q41" s="8" t="s">
        <v>339</v>
      </c>
      <c r="R41" s="8" t="s">
        <v>325</v>
      </c>
      <c r="S41" s="3" t="s">
        <v>340</v>
      </c>
      <c r="T41" s="3" t="s">
        <v>333</v>
      </c>
      <c r="U41" s="3" t="s">
        <v>390</v>
      </c>
      <c r="V41" s="8" t="s">
        <v>275</v>
      </c>
      <c r="W41" s="12" t="s">
        <v>275</v>
      </c>
      <c r="X41" s="8" t="s">
        <v>389</v>
      </c>
      <c r="Y41" s="8" t="s">
        <v>748</v>
      </c>
      <c r="Z41" s="8" t="s">
        <v>748</v>
      </c>
      <c r="AA41" s="8" t="s">
        <v>623</v>
      </c>
      <c r="AB41" s="69" t="s">
        <v>708</v>
      </c>
      <c r="AC41" s="3" t="s">
        <v>760</v>
      </c>
      <c r="AD41" s="3" t="s">
        <v>419</v>
      </c>
      <c r="AE41" s="3" t="s">
        <v>772</v>
      </c>
      <c r="AF41" s="3">
        <v>60</v>
      </c>
      <c r="AG41" s="70" t="s">
        <v>482</v>
      </c>
      <c r="AH41" s="8" t="s">
        <v>783</v>
      </c>
      <c r="AI41" s="3" t="s">
        <v>506</v>
      </c>
      <c r="AJ41" s="8" t="s">
        <v>788</v>
      </c>
      <c r="AK41" s="8" t="s">
        <v>560</v>
      </c>
      <c r="AL41" s="71" t="s">
        <v>947</v>
      </c>
      <c r="AM41" s="72" t="s">
        <v>653</v>
      </c>
      <c r="AN41" s="51">
        <v>3</v>
      </c>
      <c r="AO41" s="51">
        <v>32.667000000000002</v>
      </c>
      <c r="AP41" s="51">
        <v>18</v>
      </c>
      <c r="AQ41" s="51">
        <v>1.8169999999999999</v>
      </c>
      <c r="AR41" s="51">
        <v>18</v>
      </c>
      <c r="AS41" s="73" t="s">
        <v>611</v>
      </c>
    </row>
    <row r="42" spans="1:45" ht="19.5" customHeight="1" x14ac:dyDescent="0.35">
      <c r="A42" s="67" t="s">
        <v>44</v>
      </c>
      <c r="B42" s="3" t="s">
        <v>136</v>
      </c>
      <c r="C42" s="3">
        <v>2021</v>
      </c>
      <c r="D42" s="3" t="s">
        <v>185</v>
      </c>
      <c r="E42" s="3" t="s">
        <v>270</v>
      </c>
      <c r="F42" s="3">
        <v>0.75</v>
      </c>
      <c r="G42" s="8" t="s">
        <v>275</v>
      </c>
      <c r="H42" s="3" t="s">
        <v>275</v>
      </c>
      <c r="I42" s="3" t="s">
        <v>291</v>
      </c>
      <c r="J42" s="3" t="s">
        <v>311</v>
      </c>
      <c r="K42" s="3" t="s">
        <v>283</v>
      </c>
      <c r="L42" s="68">
        <v>3</v>
      </c>
      <c r="M42" s="51">
        <v>0.1</v>
      </c>
      <c r="N42" s="51">
        <v>0.30000000000000004</v>
      </c>
      <c r="O42" s="51">
        <v>6</v>
      </c>
      <c r="P42" s="3" t="s">
        <v>338</v>
      </c>
      <c r="Q42" s="8" t="s">
        <v>353</v>
      </c>
      <c r="R42" s="8" t="s">
        <v>325</v>
      </c>
      <c r="S42" s="3" t="s">
        <v>340</v>
      </c>
      <c r="T42" s="3" t="s">
        <v>333</v>
      </c>
      <c r="U42" s="3" t="s">
        <v>390</v>
      </c>
      <c r="V42" s="8" t="s">
        <v>405</v>
      </c>
      <c r="W42" s="12" t="s">
        <v>275</v>
      </c>
      <c r="X42" s="8" t="s">
        <v>389</v>
      </c>
      <c r="Y42" s="8" t="s">
        <v>748</v>
      </c>
      <c r="Z42" s="8" t="s">
        <v>748</v>
      </c>
      <c r="AA42" s="8" t="s">
        <v>623</v>
      </c>
      <c r="AB42" s="69" t="s">
        <v>718</v>
      </c>
      <c r="AC42" s="3" t="s">
        <v>764</v>
      </c>
      <c r="AD42" s="3" t="s">
        <v>419</v>
      </c>
      <c r="AE42" s="3" t="s">
        <v>434</v>
      </c>
      <c r="AF42" s="3">
        <v>144</v>
      </c>
      <c r="AG42" s="70" t="s">
        <v>482</v>
      </c>
      <c r="AH42" s="8" t="s">
        <v>497</v>
      </c>
      <c r="AI42" s="3" t="s">
        <v>494</v>
      </c>
      <c r="AJ42" s="8" t="s">
        <v>789</v>
      </c>
      <c r="AK42" s="8" t="s">
        <v>563</v>
      </c>
      <c r="AL42" s="71" t="s">
        <v>949</v>
      </c>
      <c r="AM42" s="72" t="s">
        <v>613</v>
      </c>
      <c r="AN42" s="51" t="s">
        <v>275</v>
      </c>
      <c r="AO42" s="51">
        <v>10</v>
      </c>
      <c r="AP42" s="51">
        <v>9</v>
      </c>
      <c r="AQ42" s="51">
        <v>1.1100000000000001</v>
      </c>
      <c r="AR42" s="51">
        <v>9</v>
      </c>
      <c r="AS42" s="73" t="s">
        <v>658</v>
      </c>
    </row>
    <row r="43" spans="1:45" ht="19.5" customHeight="1" x14ac:dyDescent="0.35">
      <c r="A43" s="67" t="s">
        <v>45</v>
      </c>
      <c r="B43" s="3" t="s">
        <v>137</v>
      </c>
      <c r="C43" s="3">
        <v>2026</v>
      </c>
      <c r="D43" s="3" t="s">
        <v>185</v>
      </c>
      <c r="E43" s="3" t="s">
        <v>270</v>
      </c>
      <c r="F43" s="3">
        <v>28</v>
      </c>
      <c r="G43" s="8">
        <v>3.028</v>
      </c>
      <c r="H43" s="3" t="s">
        <v>275</v>
      </c>
      <c r="I43" s="3" t="s">
        <v>281</v>
      </c>
      <c r="J43" s="3" t="s">
        <v>313</v>
      </c>
      <c r="K43" s="3" t="s">
        <v>294</v>
      </c>
      <c r="L43" s="68">
        <v>1.5</v>
      </c>
      <c r="M43" s="51">
        <v>3.5</v>
      </c>
      <c r="N43" s="51">
        <v>0.75800000000000001</v>
      </c>
      <c r="O43" s="51">
        <v>2</v>
      </c>
      <c r="P43" s="3" t="s">
        <v>338</v>
      </c>
      <c r="Q43" s="8" t="s">
        <v>324</v>
      </c>
      <c r="R43" s="8" t="s">
        <v>325</v>
      </c>
      <c r="S43" s="3" t="s">
        <v>326</v>
      </c>
      <c r="T43" s="3" t="s">
        <v>366</v>
      </c>
      <c r="U43" s="3" t="s">
        <v>387</v>
      </c>
      <c r="V43" s="8" t="s">
        <v>406</v>
      </c>
      <c r="W43" s="12" t="s">
        <v>700</v>
      </c>
      <c r="X43" s="8" t="s">
        <v>407</v>
      </c>
      <c r="Y43" s="8" t="s">
        <v>753</v>
      </c>
      <c r="Z43" s="8" t="s">
        <v>748</v>
      </c>
      <c r="AA43" s="8" t="s">
        <v>623</v>
      </c>
      <c r="AB43" s="69" t="s">
        <v>717</v>
      </c>
      <c r="AC43" s="3" t="s">
        <v>758</v>
      </c>
      <c r="AD43" s="3" t="s">
        <v>767</v>
      </c>
      <c r="AE43" s="3" t="s">
        <v>778</v>
      </c>
      <c r="AF43" s="3" t="s">
        <v>460</v>
      </c>
      <c r="AG43" s="70" t="s">
        <v>782</v>
      </c>
      <c r="AH43" s="8" t="s">
        <v>785</v>
      </c>
      <c r="AI43" s="3" t="s">
        <v>494</v>
      </c>
      <c r="AJ43" s="8" t="s">
        <v>787</v>
      </c>
      <c r="AK43" s="8" t="s">
        <v>566</v>
      </c>
      <c r="AL43" s="71" t="s">
        <v>948</v>
      </c>
      <c r="AM43" s="72" t="s">
        <v>613</v>
      </c>
      <c r="AN43" s="51">
        <v>2</v>
      </c>
      <c r="AO43" s="51">
        <v>7</v>
      </c>
      <c r="AP43" s="51">
        <v>6</v>
      </c>
      <c r="AQ43" s="51">
        <v>1.17</v>
      </c>
      <c r="AR43" s="51">
        <v>6</v>
      </c>
      <c r="AS43" s="73" t="s">
        <v>658</v>
      </c>
    </row>
    <row r="44" spans="1:45" ht="19.5" customHeight="1" x14ac:dyDescent="0.35">
      <c r="A44" s="67" t="s">
        <v>46</v>
      </c>
      <c r="B44" s="3" t="s">
        <v>138</v>
      </c>
      <c r="C44" s="3">
        <v>2016</v>
      </c>
      <c r="D44" s="3" t="s">
        <v>189</v>
      </c>
      <c r="E44" s="3" t="s">
        <v>270</v>
      </c>
      <c r="F44" s="3">
        <v>1.2</v>
      </c>
      <c r="G44" s="8">
        <v>0.44</v>
      </c>
      <c r="H44" s="3" t="s">
        <v>275</v>
      </c>
      <c r="I44" s="3" t="s">
        <v>288</v>
      </c>
      <c r="J44" s="3">
        <v>2013</v>
      </c>
      <c r="K44" s="3" t="s">
        <v>294</v>
      </c>
      <c r="L44" s="68">
        <v>2</v>
      </c>
      <c r="M44" s="51">
        <v>0.25</v>
      </c>
      <c r="N44" s="51">
        <v>0.5</v>
      </c>
      <c r="O44" s="51">
        <v>4</v>
      </c>
      <c r="P44" s="3" t="s">
        <v>338</v>
      </c>
      <c r="Q44" s="8" t="s">
        <v>367</v>
      </c>
      <c r="R44" s="8" t="s">
        <v>857</v>
      </c>
      <c r="S44" s="3" t="s">
        <v>326</v>
      </c>
      <c r="T44" s="3" t="s">
        <v>368</v>
      </c>
      <c r="U44" s="3" t="s">
        <v>387</v>
      </c>
      <c r="V44" s="8" t="s">
        <v>408</v>
      </c>
      <c r="W44" s="12" t="s">
        <v>701</v>
      </c>
      <c r="X44" s="8" t="s">
        <v>394</v>
      </c>
      <c r="Y44" s="8" t="s">
        <v>750</v>
      </c>
      <c r="Z44" s="8" t="s">
        <v>750</v>
      </c>
      <c r="AA44" s="8" t="s">
        <v>623</v>
      </c>
      <c r="AB44" s="69" t="s">
        <v>719</v>
      </c>
      <c r="AC44" s="3" t="s">
        <v>762</v>
      </c>
      <c r="AD44" s="3" t="s">
        <v>449</v>
      </c>
      <c r="AE44" s="3" t="s">
        <v>775</v>
      </c>
      <c r="AF44" s="3" t="s">
        <v>275</v>
      </c>
      <c r="AG44" s="70" t="s">
        <v>482</v>
      </c>
      <c r="AH44" s="8" t="s">
        <v>497</v>
      </c>
      <c r="AI44" s="3" t="s">
        <v>502</v>
      </c>
      <c r="AJ44" s="8" t="s">
        <v>789</v>
      </c>
      <c r="AK44" s="8" t="s">
        <v>568</v>
      </c>
      <c r="AL44" s="71" t="s">
        <v>948</v>
      </c>
      <c r="AM44" s="72" t="s">
        <v>613</v>
      </c>
      <c r="AN44" s="51">
        <v>4</v>
      </c>
      <c r="AO44" s="51">
        <v>16</v>
      </c>
      <c r="AP44" s="51">
        <v>12</v>
      </c>
      <c r="AQ44" s="51">
        <v>1.33</v>
      </c>
      <c r="AR44" s="51">
        <v>12</v>
      </c>
      <c r="AS44" s="73" t="s">
        <v>658</v>
      </c>
    </row>
    <row r="45" spans="1:45" ht="19.5" customHeight="1" x14ac:dyDescent="0.35">
      <c r="A45" s="67" t="s">
        <v>47</v>
      </c>
      <c r="B45" s="3" t="s">
        <v>139</v>
      </c>
      <c r="C45" s="3">
        <v>2026</v>
      </c>
      <c r="D45" s="3" t="s">
        <v>185</v>
      </c>
      <c r="E45" s="3" t="s">
        <v>269</v>
      </c>
      <c r="F45" s="3" t="s">
        <v>275</v>
      </c>
      <c r="G45" s="8" t="s">
        <v>275</v>
      </c>
      <c r="H45" s="3" t="s">
        <v>275</v>
      </c>
      <c r="I45" s="3" t="s">
        <v>291</v>
      </c>
      <c r="J45" s="3" t="s">
        <v>314</v>
      </c>
      <c r="K45" s="3" t="s">
        <v>289</v>
      </c>
      <c r="L45" s="68">
        <v>6</v>
      </c>
      <c r="M45" s="51">
        <v>1</v>
      </c>
      <c r="N45" s="51">
        <v>6</v>
      </c>
      <c r="O45" s="51">
        <v>12</v>
      </c>
      <c r="P45" s="3" t="s">
        <v>338</v>
      </c>
      <c r="Q45" s="8" t="s">
        <v>324</v>
      </c>
      <c r="R45" s="8" t="s">
        <v>857</v>
      </c>
      <c r="S45" s="3" t="s">
        <v>332</v>
      </c>
      <c r="T45" s="3" t="s">
        <v>333</v>
      </c>
      <c r="U45" s="3" t="s">
        <v>387</v>
      </c>
      <c r="V45" s="8" t="s">
        <v>388</v>
      </c>
      <c r="W45" s="12" t="s">
        <v>702</v>
      </c>
      <c r="X45" s="8" t="s">
        <v>389</v>
      </c>
      <c r="Y45" s="8" t="s">
        <v>748</v>
      </c>
      <c r="Z45" s="8" t="s">
        <v>748</v>
      </c>
      <c r="AA45" s="8" t="s">
        <v>623</v>
      </c>
      <c r="AB45" s="69" t="s">
        <v>708</v>
      </c>
      <c r="AC45" s="3" t="s">
        <v>761</v>
      </c>
      <c r="AD45" s="3" t="s">
        <v>444</v>
      </c>
      <c r="AE45" s="3" t="s">
        <v>771</v>
      </c>
      <c r="AF45" s="3" t="s">
        <v>463</v>
      </c>
      <c r="AG45" s="70" t="s">
        <v>781</v>
      </c>
      <c r="AH45" s="8" t="s">
        <v>275</v>
      </c>
      <c r="AI45" s="3" t="s">
        <v>275</v>
      </c>
      <c r="AJ45" s="8" t="s">
        <v>275</v>
      </c>
      <c r="AK45" s="8" t="s">
        <v>275</v>
      </c>
      <c r="AL45" s="71" t="s">
        <v>275</v>
      </c>
      <c r="AM45" s="72" t="s">
        <v>275</v>
      </c>
      <c r="AN45" s="51" t="s">
        <v>275</v>
      </c>
      <c r="AO45" s="51" t="s">
        <v>275</v>
      </c>
      <c r="AP45" s="51" t="s">
        <v>275</v>
      </c>
      <c r="AQ45" s="51" t="s">
        <v>275</v>
      </c>
      <c r="AR45" s="51" t="s">
        <v>275</v>
      </c>
      <c r="AS45" s="73" t="s">
        <v>275</v>
      </c>
    </row>
    <row r="46" spans="1:45" ht="19.5" customHeight="1" x14ac:dyDescent="0.35">
      <c r="A46" s="67" t="s">
        <v>48</v>
      </c>
      <c r="B46" s="3" t="s">
        <v>140</v>
      </c>
      <c r="C46" s="3">
        <v>2023</v>
      </c>
      <c r="D46" s="3" t="s">
        <v>185</v>
      </c>
      <c r="E46" s="3" t="s">
        <v>268</v>
      </c>
      <c r="F46" s="3">
        <v>2850</v>
      </c>
      <c r="G46" s="8">
        <v>1716</v>
      </c>
      <c r="H46" s="3" t="s">
        <v>275</v>
      </c>
      <c r="I46" s="3" t="s">
        <v>291</v>
      </c>
      <c r="J46" s="3">
        <v>2019</v>
      </c>
      <c r="K46" s="3" t="s">
        <v>283</v>
      </c>
      <c r="L46" s="68">
        <v>2</v>
      </c>
      <c r="M46" s="51">
        <v>28.7</v>
      </c>
      <c r="N46" s="51">
        <v>57</v>
      </c>
      <c r="O46" s="51">
        <v>47</v>
      </c>
      <c r="P46" s="3" t="s">
        <v>334</v>
      </c>
      <c r="Q46" s="8" t="s">
        <v>339</v>
      </c>
      <c r="R46" s="8" t="s">
        <v>857</v>
      </c>
      <c r="S46" s="3" t="s">
        <v>340</v>
      </c>
      <c r="T46" s="3" t="s">
        <v>333</v>
      </c>
      <c r="U46" s="3" t="s">
        <v>390</v>
      </c>
      <c r="V46" s="8" t="s">
        <v>391</v>
      </c>
      <c r="W46" s="12" t="s">
        <v>275</v>
      </c>
      <c r="X46" s="8" t="s">
        <v>389</v>
      </c>
      <c r="Y46" s="8" t="s">
        <v>748</v>
      </c>
      <c r="Z46" s="8" t="s">
        <v>748</v>
      </c>
      <c r="AA46" s="8" t="s">
        <v>623</v>
      </c>
      <c r="AB46" s="69" t="s">
        <v>708</v>
      </c>
      <c r="AC46" s="3" t="s">
        <v>760</v>
      </c>
      <c r="AD46" s="3" t="s">
        <v>419</v>
      </c>
      <c r="AE46" s="3" t="s">
        <v>772</v>
      </c>
      <c r="AF46" s="3">
        <v>100</v>
      </c>
      <c r="AG46" s="70" t="s">
        <v>482</v>
      </c>
      <c r="AH46" s="8" t="s">
        <v>497</v>
      </c>
      <c r="AI46" s="3" t="s">
        <v>506</v>
      </c>
      <c r="AJ46" s="8" t="s">
        <v>788</v>
      </c>
      <c r="AK46" s="8" t="s">
        <v>570</v>
      </c>
      <c r="AL46" s="71" t="s">
        <v>949</v>
      </c>
      <c r="AM46" s="72" t="s">
        <v>613</v>
      </c>
      <c r="AN46" s="51">
        <v>18</v>
      </c>
      <c r="AO46" s="51">
        <v>29.7</v>
      </c>
      <c r="AP46" s="51">
        <v>21.6</v>
      </c>
      <c r="AQ46" s="51">
        <v>1.38</v>
      </c>
      <c r="AR46" s="51">
        <v>40</v>
      </c>
      <c r="AS46" s="73" t="s">
        <v>611</v>
      </c>
    </row>
    <row r="47" spans="1:45" ht="19.5" customHeight="1" x14ac:dyDescent="0.35">
      <c r="A47" s="67" t="s">
        <v>49</v>
      </c>
      <c r="B47" s="3" t="s">
        <v>140</v>
      </c>
      <c r="C47" s="3">
        <v>2018</v>
      </c>
      <c r="D47" s="3" t="s">
        <v>185</v>
      </c>
      <c r="E47" s="3" t="s">
        <v>269</v>
      </c>
      <c r="F47" s="3">
        <v>524</v>
      </c>
      <c r="G47" s="8">
        <v>436</v>
      </c>
      <c r="H47" s="3">
        <v>130</v>
      </c>
      <c r="I47" s="3" t="s">
        <v>291</v>
      </c>
      <c r="J47" s="3">
        <v>2016</v>
      </c>
      <c r="K47" s="3" t="s">
        <v>283</v>
      </c>
      <c r="L47" s="68">
        <v>2</v>
      </c>
      <c r="M47" s="51">
        <v>30</v>
      </c>
      <c r="N47" s="51">
        <v>60</v>
      </c>
      <c r="O47" s="51">
        <v>59</v>
      </c>
      <c r="P47" s="3" t="s">
        <v>369</v>
      </c>
      <c r="Q47" s="8" t="s">
        <v>339</v>
      </c>
      <c r="R47" s="8" t="s">
        <v>857</v>
      </c>
      <c r="S47" s="3" t="s">
        <v>340</v>
      </c>
      <c r="T47" s="3" t="s">
        <v>333</v>
      </c>
      <c r="U47" s="3" t="s">
        <v>390</v>
      </c>
      <c r="V47" s="8" t="s">
        <v>391</v>
      </c>
      <c r="W47" s="12" t="s">
        <v>275</v>
      </c>
      <c r="X47" s="8" t="s">
        <v>389</v>
      </c>
      <c r="Y47" s="8" t="s">
        <v>748</v>
      </c>
      <c r="Z47" s="8" t="s">
        <v>748</v>
      </c>
      <c r="AA47" s="8" t="s">
        <v>623</v>
      </c>
      <c r="AB47" s="69" t="s">
        <v>708</v>
      </c>
      <c r="AC47" s="3" t="s">
        <v>760</v>
      </c>
      <c r="AD47" s="3" t="s">
        <v>419</v>
      </c>
      <c r="AE47" s="3" t="s">
        <v>772</v>
      </c>
      <c r="AF47" s="3">
        <v>100</v>
      </c>
      <c r="AG47" s="70" t="s">
        <v>482</v>
      </c>
      <c r="AH47" s="8" t="s">
        <v>497</v>
      </c>
      <c r="AI47" s="3" t="s">
        <v>506</v>
      </c>
      <c r="AJ47" s="8" t="s">
        <v>788</v>
      </c>
      <c r="AK47" s="8" t="s">
        <v>571</v>
      </c>
      <c r="AL47" s="71" t="s">
        <v>947</v>
      </c>
      <c r="AM47" s="72" t="s">
        <v>613</v>
      </c>
      <c r="AN47" s="51">
        <v>16</v>
      </c>
      <c r="AO47" s="51">
        <v>29.5</v>
      </c>
      <c r="AP47" s="51">
        <v>16.45</v>
      </c>
      <c r="AQ47" s="51">
        <v>1.885</v>
      </c>
      <c r="AR47" s="51">
        <v>24.5</v>
      </c>
      <c r="AS47" s="73" t="s">
        <v>611</v>
      </c>
    </row>
    <row r="48" spans="1:45" ht="19.5" customHeight="1" x14ac:dyDescent="0.35">
      <c r="A48" s="67" t="s">
        <v>50</v>
      </c>
      <c r="B48" s="3" t="s">
        <v>150</v>
      </c>
      <c r="C48" s="3">
        <v>2021</v>
      </c>
      <c r="D48" s="3" t="s">
        <v>186</v>
      </c>
      <c r="E48" s="3" t="s">
        <v>270</v>
      </c>
      <c r="F48" s="3" t="s">
        <v>275</v>
      </c>
      <c r="G48" s="8" t="s">
        <v>275</v>
      </c>
      <c r="H48" s="3" t="s">
        <v>275</v>
      </c>
      <c r="I48" s="3" t="s">
        <v>291</v>
      </c>
      <c r="J48" s="3">
        <v>2017</v>
      </c>
      <c r="K48" s="3" t="s">
        <v>294</v>
      </c>
      <c r="L48" s="68">
        <v>3</v>
      </c>
      <c r="M48" s="51">
        <v>1.27</v>
      </c>
      <c r="N48" s="51">
        <v>7.61</v>
      </c>
      <c r="O48" s="51">
        <v>11</v>
      </c>
      <c r="P48" s="3" t="s">
        <v>338</v>
      </c>
      <c r="Q48" s="8" t="s">
        <v>324</v>
      </c>
      <c r="R48" s="8" t="s">
        <v>857</v>
      </c>
      <c r="S48" s="3" t="s">
        <v>326</v>
      </c>
      <c r="T48" s="3" t="s">
        <v>342</v>
      </c>
      <c r="U48" s="3" t="s">
        <v>387</v>
      </c>
      <c r="V48" s="8" t="s">
        <v>393</v>
      </c>
      <c r="W48" s="12" t="s">
        <v>706</v>
      </c>
      <c r="X48" s="8" t="s">
        <v>397</v>
      </c>
      <c r="Y48" s="8" t="s">
        <v>752</v>
      </c>
      <c r="Z48" s="8" t="s">
        <v>752</v>
      </c>
      <c r="AA48" s="8" t="s">
        <v>623</v>
      </c>
      <c r="AB48" s="69" t="s">
        <v>726</v>
      </c>
      <c r="AC48" s="3" t="s">
        <v>765</v>
      </c>
      <c r="AD48" s="3" t="s">
        <v>419</v>
      </c>
      <c r="AE48" s="3" t="s">
        <v>770</v>
      </c>
      <c r="AF48" s="3" t="s">
        <v>275</v>
      </c>
      <c r="AG48" s="70" t="s">
        <v>482</v>
      </c>
      <c r="AH48" s="8" t="s">
        <v>497</v>
      </c>
      <c r="AI48" s="3" t="s">
        <v>502</v>
      </c>
      <c r="AJ48" s="8" t="s">
        <v>789</v>
      </c>
      <c r="AK48" s="8" t="s">
        <v>275</v>
      </c>
      <c r="AL48" s="71" t="s">
        <v>275</v>
      </c>
      <c r="AM48" s="72" t="s">
        <v>678</v>
      </c>
      <c r="AN48" s="51">
        <v>11</v>
      </c>
      <c r="AO48" s="51">
        <v>33</v>
      </c>
      <c r="AP48" s="51">
        <v>16</v>
      </c>
      <c r="AQ48" s="51">
        <v>1.06</v>
      </c>
      <c r="AR48" s="51">
        <v>15</v>
      </c>
      <c r="AS48" s="73" t="s">
        <v>658</v>
      </c>
    </row>
    <row r="49" spans="1:45" ht="19.5" customHeight="1" x14ac:dyDescent="0.35">
      <c r="A49" s="67" t="s">
        <v>51</v>
      </c>
      <c r="B49" s="3" t="s">
        <v>141</v>
      </c>
      <c r="C49" s="3">
        <v>2019</v>
      </c>
      <c r="D49" s="3" t="s">
        <v>189</v>
      </c>
      <c r="E49" s="3" t="s">
        <v>270</v>
      </c>
      <c r="F49" s="3">
        <v>10</v>
      </c>
      <c r="G49" s="8" t="s">
        <v>275</v>
      </c>
      <c r="H49" s="3">
        <v>0.5</v>
      </c>
      <c r="I49" s="3" t="s">
        <v>290</v>
      </c>
      <c r="J49" s="3" t="s">
        <v>315</v>
      </c>
      <c r="K49" s="3" t="s">
        <v>283</v>
      </c>
      <c r="L49" s="68">
        <v>1.5</v>
      </c>
      <c r="M49" s="51">
        <v>4.25</v>
      </c>
      <c r="N49" s="51">
        <v>4.25</v>
      </c>
      <c r="O49" s="51">
        <v>30</v>
      </c>
      <c r="P49" s="3" t="s">
        <v>338</v>
      </c>
      <c r="Q49" s="8" t="s">
        <v>339</v>
      </c>
      <c r="R49" s="8" t="s">
        <v>325</v>
      </c>
      <c r="S49" s="3" t="s">
        <v>332</v>
      </c>
      <c r="T49" s="3" t="s">
        <v>333</v>
      </c>
      <c r="U49" s="3" t="s">
        <v>390</v>
      </c>
      <c r="V49" s="8" t="s">
        <v>391</v>
      </c>
      <c r="W49" s="12" t="s">
        <v>692</v>
      </c>
      <c r="X49" s="8" t="s">
        <v>389</v>
      </c>
      <c r="Y49" s="8" t="s">
        <v>748</v>
      </c>
      <c r="Z49" s="8" t="s">
        <v>748</v>
      </c>
      <c r="AA49" s="8" t="s">
        <v>623</v>
      </c>
      <c r="AB49" s="69" t="s">
        <v>720</v>
      </c>
      <c r="AC49" s="3" t="s">
        <v>758</v>
      </c>
      <c r="AD49" s="3" t="s">
        <v>444</v>
      </c>
      <c r="AE49" s="3" t="s">
        <v>771</v>
      </c>
      <c r="AF49" s="3" t="s">
        <v>275</v>
      </c>
      <c r="AG49" s="70" t="s">
        <v>781</v>
      </c>
      <c r="AH49" s="8" t="s">
        <v>275</v>
      </c>
      <c r="AI49" s="3" t="s">
        <v>275</v>
      </c>
      <c r="AJ49" s="8" t="s">
        <v>275</v>
      </c>
      <c r="AK49" s="8" t="s">
        <v>275</v>
      </c>
      <c r="AL49" s="71" t="s">
        <v>948</v>
      </c>
      <c r="AM49" s="72" t="s">
        <v>613</v>
      </c>
      <c r="AN49" s="51" t="s">
        <v>275</v>
      </c>
      <c r="AO49" s="51" t="s">
        <v>275</v>
      </c>
      <c r="AP49" s="51" t="s">
        <v>275</v>
      </c>
      <c r="AQ49" s="51" t="s">
        <v>275</v>
      </c>
      <c r="AR49" s="51" t="s">
        <v>275</v>
      </c>
      <c r="AS49" s="73" t="s">
        <v>275</v>
      </c>
    </row>
    <row r="50" spans="1:45" ht="19.5" customHeight="1" x14ac:dyDescent="0.35">
      <c r="A50" s="67" t="s">
        <v>52</v>
      </c>
      <c r="B50" s="3" t="s">
        <v>142</v>
      </c>
      <c r="C50" s="3">
        <v>2019</v>
      </c>
      <c r="D50" s="3" t="s">
        <v>185</v>
      </c>
      <c r="E50" s="3" t="s">
        <v>270</v>
      </c>
      <c r="F50" s="3">
        <v>1.1000000000000001</v>
      </c>
      <c r="G50" s="8">
        <v>1.98</v>
      </c>
      <c r="H50" s="3">
        <v>1.1000000000000001</v>
      </c>
      <c r="I50" s="3" t="s">
        <v>290</v>
      </c>
      <c r="J50" s="3">
        <v>2017</v>
      </c>
      <c r="K50" s="3" t="s">
        <v>283</v>
      </c>
      <c r="L50" s="68">
        <v>1</v>
      </c>
      <c r="M50" s="51">
        <v>2</v>
      </c>
      <c r="N50" s="51">
        <v>2</v>
      </c>
      <c r="O50" s="51">
        <v>2</v>
      </c>
      <c r="P50" s="3" t="s">
        <v>369</v>
      </c>
      <c r="Q50" s="8" t="s">
        <v>356</v>
      </c>
      <c r="R50" s="8" t="s">
        <v>325</v>
      </c>
      <c r="S50" s="3" t="s">
        <v>326</v>
      </c>
      <c r="T50" s="3" t="s">
        <v>371</v>
      </c>
      <c r="U50" s="3" t="s">
        <v>387</v>
      </c>
      <c r="V50" s="8" t="s">
        <v>393</v>
      </c>
      <c r="W50" s="12" t="s">
        <v>703</v>
      </c>
      <c r="X50" s="8" t="s">
        <v>394</v>
      </c>
      <c r="Y50" s="8" t="s">
        <v>750</v>
      </c>
      <c r="Z50" s="8" t="s">
        <v>750</v>
      </c>
      <c r="AA50" s="8" t="s">
        <v>623</v>
      </c>
      <c r="AB50" s="69" t="s">
        <v>709</v>
      </c>
      <c r="AC50" s="3" t="s">
        <v>427</v>
      </c>
      <c r="AD50" s="3" t="s">
        <v>417</v>
      </c>
      <c r="AE50" s="3" t="s">
        <v>771</v>
      </c>
      <c r="AF50" s="3" t="s">
        <v>467</v>
      </c>
      <c r="AG50" s="70" t="s">
        <v>781</v>
      </c>
      <c r="AH50" s="8" t="s">
        <v>275</v>
      </c>
      <c r="AI50" s="3" t="s">
        <v>275</v>
      </c>
      <c r="AJ50" s="8" t="s">
        <v>275</v>
      </c>
      <c r="AK50" s="8" t="s">
        <v>275</v>
      </c>
      <c r="AL50" s="71" t="s">
        <v>275</v>
      </c>
      <c r="AM50" s="72" t="s">
        <v>275</v>
      </c>
      <c r="AN50" s="51" t="s">
        <v>275</v>
      </c>
      <c r="AO50" s="51" t="s">
        <v>275</v>
      </c>
      <c r="AP50" s="51" t="s">
        <v>275</v>
      </c>
      <c r="AQ50" s="51" t="s">
        <v>275</v>
      </c>
      <c r="AR50" s="51" t="s">
        <v>275</v>
      </c>
      <c r="AS50" s="73" t="s">
        <v>275</v>
      </c>
    </row>
    <row r="51" spans="1:45" ht="19.5" customHeight="1" x14ac:dyDescent="0.35">
      <c r="A51" s="67" t="s">
        <v>53</v>
      </c>
      <c r="B51" s="3" t="s">
        <v>142</v>
      </c>
      <c r="C51" s="3">
        <v>2021</v>
      </c>
      <c r="D51" s="3" t="s">
        <v>185</v>
      </c>
      <c r="E51" s="3" t="s">
        <v>270</v>
      </c>
      <c r="F51" s="3">
        <v>1.3</v>
      </c>
      <c r="G51" s="9">
        <v>0.82699999999999996</v>
      </c>
      <c r="H51" s="3">
        <v>1.3</v>
      </c>
      <c r="I51" s="3" t="s">
        <v>281</v>
      </c>
      <c r="J51" s="3" t="s">
        <v>311</v>
      </c>
      <c r="K51" s="3" t="s">
        <v>283</v>
      </c>
      <c r="L51" s="68">
        <v>1</v>
      </c>
      <c r="M51" s="51">
        <v>2</v>
      </c>
      <c r="N51" s="51">
        <v>2</v>
      </c>
      <c r="O51" s="51">
        <v>13</v>
      </c>
      <c r="P51" s="3" t="s">
        <v>338</v>
      </c>
      <c r="Q51" s="8" t="s">
        <v>356</v>
      </c>
      <c r="R51" s="8" t="s">
        <v>325</v>
      </c>
      <c r="S51" s="3" t="s">
        <v>332</v>
      </c>
      <c r="T51" s="3" t="s">
        <v>333</v>
      </c>
      <c r="U51" s="3" t="s">
        <v>387</v>
      </c>
      <c r="V51" s="8" t="s">
        <v>393</v>
      </c>
      <c r="W51" s="12" t="s">
        <v>275</v>
      </c>
      <c r="X51" s="8" t="s">
        <v>394</v>
      </c>
      <c r="Y51" s="8" t="s">
        <v>750</v>
      </c>
      <c r="Z51" s="8" t="s">
        <v>750</v>
      </c>
      <c r="AA51" s="8" t="s">
        <v>623</v>
      </c>
      <c r="AB51" s="69" t="s">
        <v>717</v>
      </c>
      <c r="AC51" s="3" t="s">
        <v>427</v>
      </c>
      <c r="AD51" s="3" t="s">
        <v>468</v>
      </c>
      <c r="AE51" s="3" t="s">
        <v>771</v>
      </c>
      <c r="AF51" s="3" t="s">
        <v>469</v>
      </c>
      <c r="AG51" s="70" t="s">
        <v>781</v>
      </c>
      <c r="AH51" s="8" t="s">
        <v>275</v>
      </c>
      <c r="AI51" s="3" t="s">
        <v>275</v>
      </c>
      <c r="AJ51" s="8" t="s">
        <v>275</v>
      </c>
      <c r="AK51" s="8" t="s">
        <v>275</v>
      </c>
      <c r="AL51" s="71" t="s">
        <v>275</v>
      </c>
      <c r="AM51" s="72" t="s">
        <v>275</v>
      </c>
      <c r="AN51" s="51" t="s">
        <v>275</v>
      </c>
      <c r="AO51" s="51" t="s">
        <v>275</v>
      </c>
      <c r="AP51" s="51" t="s">
        <v>275</v>
      </c>
      <c r="AQ51" s="51" t="s">
        <v>275</v>
      </c>
      <c r="AR51" s="51" t="s">
        <v>275</v>
      </c>
      <c r="AS51" s="73" t="s">
        <v>275</v>
      </c>
    </row>
    <row r="52" spans="1:45" ht="19.5" customHeight="1" x14ac:dyDescent="0.35">
      <c r="A52" s="67" t="s">
        <v>54</v>
      </c>
      <c r="B52" s="3" t="s">
        <v>925</v>
      </c>
      <c r="C52" s="3">
        <v>2018</v>
      </c>
      <c r="D52" s="3" t="s">
        <v>189</v>
      </c>
      <c r="E52" s="3" t="s">
        <v>270</v>
      </c>
      <c r="F52" s="3" t="s">
        <v>280</v>
      </c>
      <c r="G52" s="9">
        <v>0.3</v>
      </c>
      <c r="H52" s="3">
        <v>1.5</v>
      </c>
      <c r="I52" s="3" t="s">
        <v>288</v>
      </c>
      <c r="J52" s="3">
        <v>2016</v>
      </c>
      <c r="K52" s="3" t="s">
        <v>283</v>
      </c>
      <c r="L52" s="68">
        <v>3</v>
      </c>
      <c r="M52" s="51">
        <v>1</v>
      </c>
      <c r="N52" s="51">
        <v>3</v>
      </c>
      <c r="O52" s="51">
        <v>4</v>
      </c>
      <c r="P52" s="3" t="s">
        <v>338</v>
      </c>
      <c r="Q52" s="8" t="s">
        <v>339</v>
      </c>
      <c r="R52" s="8" t="s">
        <v>325</v>
      </c>
      <c r="S52" s="3" t="s">
        <v>332</v>
      </c>
      <c r="T52" s="3" t="s">
        <v>333</v>
      </c>
      <c r="U52" s="3" t="s">
        <v>387</v>
      </c>
      <c r="V52" s="8" t="s">
        <v>388</v>
      </c>
      <c r="W52" s="12" t="s">
        <v>275</v>
      </c>
      <c r="X52" s="8" t="s">
        <v>389</v>
      </c>
      <c r="Y52" s="8" t="s">
        <v>748</v>
      </c>
      <c r="Z52" s="8" t="s">
        <v>748</v>
      </c>
      <c r="AA52" s="8" t="s">
        <v>623</v>
      </c>
      <c r="AB52" s="69" t="s">
        <v>721</v>
      </c>
      <c r="AC52" s="3" t="s">
        <v>427</v>
      </c>
      <c r="AD52" s="3" t="s">
        <v>768</v>
      </c>
      <c r="AE52" s="3" t="s">
        <v>771</v>
      </c>
      <c r="AF52" s="3">
        <v>70</v>
      </c>
      <c r="AG52" s="70" t="s">
        <v>781</v>
      </c>
      <c r="AH52" s="8" t="s">
        <v>275</v>
      </c>
      <c r="AI52" s="3" t="s">
        <v>275</v>
      </c>
      <c r="AJ52" s="8" t="s">
        <v>275</v>
      </c>
      <c r="AK52" s="8" t="s">
        <v>275</v>
      </c>
      <c r="AL52" s="71" t="s">
        <v>948</v>
      </c>
      <c r="AM52" s="72" t="s">
        <v>275</v>
      </c>
      <c r="AN52" s="51" t="s">
        <v>275</v>
      </c>
      <c r="AO52" s="51" t="s">
        <v>275</v>
      </c>
      <c r="AP52" s="51" t="s">
        <v>275</v>
      </c>
      <c r="AQ52" s="51" t="s">
        <v>275</v>
      </c>
      <c r="AR52" s="51" t="s">
        <v>275</v>
      </c>
      <c r="AS52" s="73" t="s">
        <v>275</v>
      </c>
    </row>
    <row r="53" spans="1:45" ht="19.5" customHeight="1" x14ac:dyDescent="0.35">
      <c r="A53" s="67" t="s">
        <v>55</v>
      </c>
      <c r="B53" s="3" t="s">
        <v>845</v>
      </c>
      <c r="C53" s="3">
        <v>2024</v>
      </c>
      <c r="D53" s="3" t="s">
        <v>185</v>
      </c>
      <c r="E53" s="3" t="s">
        <v>270</v>
      </c>
      <c r="F53" s="3" t="s">
        <v>275</v>
      </c>
      <c r="G53" s="9" t="s">
        <v>275</v>
      </c>
      <c r="H53" s="9" t="s">
        <v>275</v>
      </c>
      <c r="I53" s="3" t="s">
        <v>291</v>
      </c>
      <c r="J53" s="3">
        <v>2024</v>
      </c>
      <c r="K53" s="3" t="s">
        <v>294</v>
      </c>
      <c r="L53" s="68">
        <v>2</v>
      </c>
      <c r="M53" s="51">
        <v>1.28</v>
      </c>
      <c r="N53" s="51">
        <v>2.5</v>
      </c>
      <c r="O53" s="51">
        <v>20</v>
      </c>
      <c r="P53" s="3" t="s">
        <v>338</v>
      </c>
      <c r="Q53" s="8" t="s">
        <v>367</v>
      </c>
      <c r="R53" s="8" t="s">
        <v>857</v>
      </c>
      <c r="S53" s="3" t="s">
        <v>332</v>
      </c>
      <c r="T53" s="3" t="s">
        <v>333</v>
      </c>
      <c r="U53" s="3" t="s">
        <v>387</v>
      </c>
      <c r="V53" s="8" t="s">
        <v>391</v>
      </c>
      <c r="W53" s="12" t="s">
        <v>275</v>
      </c>
      <c r="X53" s="8" t="s">
        <v>392</v>
      </c>
      <c r="Y53" s="8">
        <v>0.8</v>
      </c>
      <c r="Z53" s="8">
        <v>0.8</v>
      </c>
      <c r="AA53" s="8" t="s">
        <v>623</v>
      </c>
      <c r="AB53" s="69" t="s">
        <v>716</v>
      </c>
      <c r="AC53" s="3" t="s">
        <v>427</v>
      </c>
      <c r="AD53" s="3" t="s">
        <v>419</v>
      </c>
      <c r="AE53" s="3" t="s">
        <v>770</v>
      </c>
      <c r="AF53" s="3" t="s">
        <v>851</v>
      </c>
      <c r="AG53" s="70" t="s">
        <v>482</v>
      </c>
      <c r="AH53" s="8" t="s">
        <v>497</v>
      </c>
      <c r="AI53" s="3" t="s">
        <v>852</v>
      </c>
      <c r="AJ53" s="8" t="s">
        <v>858</v>
      </c>
      <c r="AK53" s="8" t="s">
        <v>859</v>
      </c>
      <c r="AL53" s="71" t="s">
        <v>948</v>
      </c>
      <c r="AM53" s="72" t="s">
        <v>613</v>
      </c>
      <c r="AN53" s="51" t="s">
        <v>275</v>
      </c>
      <c r="AO53" s="51" t="s">
        <v>275</v>
      </c>
      <c r="AP53" s="51" t="s">
        <v>275</v>
      </c>
      <c r="AQ53" s="51" t="s">
        <v>275</v>
      </c>
      <c r="AR53" s="51" t="s">
        <v>275</v>
      </c>
      <c r="AS53" s="73" t="s">
        <v>275</v>
      </c>
    </row>
    <row r="54" spans="1:45" ht="19.5" customHeight="1" x14ac:dyDescent="0.35">
      <c r="A54" s="67" t="s">
        <v>56</v>
      </c>
      <c r="B54" s="3" t="s">
        <v>143</v>
      </c>
      <c r="C54" s="3">
        <v>2016</v>
      </c>
      <c r="D54" s="3" t="s">
        <v>185</v>
      </c>
      <c r="E54" s="3" t="s">
        <v>270</v>
      </c>
      <c r="F54" s="3" t="s">
        <v>275</v>
      </c>
      <c r="G54" s="8" t="s">
        <v>275</v>
      </c>
      <c r="H54" s="3" t="s">
        <v>275</v>
      </c>
      <c r="I54" s="3" t="s">
        <v>281</v>
      </c>
      <c r="J54" s="3" t="s">
        <v>316</v>
      </c>
      <c r="K54" s="3" t="s">
        <v>294</v>
      </c>
      <c r="L54" s="68">
        <v>2</v>
      </c>
      <c r="M54" s="51">
        <v>100</v>
      </c>
      <c r="N54" s="51">
        <v>100</v>
      </c>
      <c r="O54" s="51">
        <v>2</v>
      </c>
      <c r="P54" s="3" t="s">
        <v>338</v>
      </c>
      <c r="Q54" s="8" t="s">
        <v>339</v>
      </c>
      <c r="R54" s="8" t="s">
        <v>857</v>
      </c>
      <c r="S54" s="3" t="s">
        <v>340</v>
      </c>
      <c r="T54" s="3" t="s">
        <v>333</v>
      </c>
      <c r="U54" s="3" t="s">
        <v>390</v>
      </c>
      <c r="V54" s="8" t="s">
        <v>391</v>
      </c>
      <c r="W54" s="12" t="s">
        <v>275</v>
      </c>
      <c r="X54" s="8" t="s">
        <v>409</v>
      </c>
      <c r="Y54" s="8" t="s">
        <v>630</v>
      </c>
      <c r="Z54" s="8" t="s">
        <v>630</v>
      </c>
      <c r="AA54" s="8" t="s">
        <v>623</v>
      </c>
      <c r="AB54" s="69" t="s">
        <v>722</v>
      </c>
      <c r="AC54" s="3" t="s">
        <v>427</v>
      </c>
      <c r="AD54" s="3" t="s">
        <v>419</v>
      </c>
      <c r="AE54" s="3" t="s">
        <v>772</v>
      </c>
      <c r="AF54" s="3">
        <v>100</v>
      </c>
      <c r="AG54" s="70" t="s">
        <v>482</v>
      </c>
      <c r="AH54" s="8" t="s">
        <v>497</v>
      </c>
      <c r="AI54" s="3" t="s">
        <v>506</v>
      </c>
      <c r="AJ54" s="8" t="s">
        <v>788</v>
      </c>
      <c r="AK54" s="8" t="s">
        <v>573</v>
      </c>
      <c r="AL54" s="71" t="s">
        <v>949</v>
      </c>
      <c r="AM54" s="72" t="s">
        <v>665</v>
      </c>
      <c r="AN54" s="51">
        <v>5</v>
      </c>
      <c r="AO54" s="51">
        <v>12.5</v>
      </c>
      <c r="AP54" s="51">
        <v>10.75</v>
      </c>
      <c r="AQ54" s="51">
        <v>1.19</v>
      </c>
      <c r="AR54" s="51">
        <v>9</v>
      </c>
      <c r="AS54" s="73" t="s">
        <v>611</v>
      </c>
    </row>
    <row r="55" spans="1:45" ht="19.5" customHeight="1" x14ac:dyDescent="0.35">
      <c r="A55" s="67" t="s">
        <v>57</v>
      </c>
      <c r="B55" s="3" t="s">
        <v>144</v>
      </c>
      <c r="C55" s="3">
        <v>2023</v>
      </c>
      <c r="D55" s="3" t="s">
        <v>185</v>
      </c>
      <c r="E55" s="3" t="s">
        <v>270</v>
      </c>
      <c r="F55" s="3">
        <v>4</v>
      </c>
      <c r="G55" s="9">
        <v>0.91500000000000004</v>
      </c>
      <c r="H55" s="9">
        <v>0.65</v>
      </c>
      <c r="I55" s="3" t="s">
        <v>291</v>
      </c>
      <c r="J55" s="3">
        <v>2018</v>
      </c>
      <c r="K55" s="3" t="s">
        <v>283</v>
      </c>
      <c r="L55" s="68">
        <v>3</v>
      </c>
      <c r="M55" s="51">
        <v>10</v>
      </c>
      <c r="N55" s="51">
        <v>0.9</v>
      </c>
      <c r="O55" s="51">
        <v>8</v>
      </c>
      <c r="P55" s="3" t="s">
        <v>338</v>
      </c>
      <c r="Q55" s="8" t="s">
        <v>339</v>
      </c>
      <c r="R55" s="8" t="s">
        <v>857</v>
      </c>
      <c r="S55" s="3" t="s">
        <v>332</v>
      </c>
      <c r="T55" s="3" t="s">
        <v>333</v>
      </c>
      <c r="U55" s="3" t="s">
        <v>390</v>
      </c>
      <c r="V55" s="8" t="s">
        <v>410</v>
      </c>
      <c r="W55" s="12" t="s">
        <v>275</v>
      </c>
      <c r="X55" s="8" t="s">
        <v>389</v>
      </c>
      <c r="Y55" s="8" t="s">
        <v>748</v>
      </c>
      <c r="Z55" s="8" t="s">
        <v>748</v>
      </c>
      <c r="AA55" s="8" t="s">
        <v>623</v>
      </c>
      <c r="AB55" s="69" t="s">
        <v>709</v>
      </c>
      <c r="AC55" s="3" t="s">
        <v>427</v>
      </c>
      <c r="AD55" s="3" t="s">
        <v>419</v>
      </c>
      <c r="AE55" s="3" t="s">
        <v>772</v>
      </c>
      <c r="AF55" s="3">
        <v>142</v>
      </c>
      <c r="AG55" s="70" t="s">
        <v>482</v>
      </c>
      <c r="AH55" s="8" t="s">
        <v>783</v>
      </c>
      <c r="AI55" s="3" t="s">
        <v>502</v>
      </c>
      <c r="AJ55" s="8" t="s">
        <v>789</v>
      </c>
      <c r="AK55" s="8" t="s">
        <v>577</v>
      </c>
      <c r="AL55" s="71" t="s">
        <v>947</v>
      </c>
      <c r="AM55" s="72" t="s">
        <v>275</v>
      </c>
      <c r="AN55" s="51" t="s">
        <v>275</v>
      </c>
      <c r="AO55" s="51" t="s">
        <v>275</v>
      </c>
      <c r="AP55" s="51" t="s">
        <v>275</v>
      </c>
      <c r="AQ55" s="51" t="s">
        <v>275</v>
      </c>
      <c r="AR55" s="51" t="s">
        <v>275</v>
      </c>
      <c r="AS55" s="73" t="s">
        <v>275</v>
      </c>
    </row>
    <row r="56" spans="1:45" ht="19.5" customHeight="1" x14ac:dyDescent="0.35">
      <c r="A56" s="67" t="s">
        <v>58</v>
      </c>
      <c r="B56" s="3" t="s">
        <v>145</v>
      </c>
      <c r="C56" s="3">
        <v>2024</v>
      </c>
      <c r="D56" s="3" t="s">
        <v>186</v>
      </c>
      <c r="E56" s="3" t="s">
        <v>270</v>
      </c>
      <c r="F56" s="3" t="s">
        <v>275</v>
      </c>
      <c r="G56" s="8" t="s">
        <v>275</v>
      </c>
      <c r="H56" s="3" t="s">
        <v>275</v>
      </c>
      <c r="I56" s="3" t="s">
        <v>291</v>
      </c>
      <c r="J56" s="3">
        <v>2021</v>
      </c>
      <c r="K56" s="3" t="s">
        <v>294</v>
      </c>
      <c r="L56" s="68">
        <v>3</v>
      </c>
      <c r="M56" s="51">
        <v>3</v>
      </c>
      <c r="N56" s="51">
        <v>3</v>
      </c>
      <c r="O56" s="51">
        <v>29</v>
      </c>
      <c r="P56" s="3" t="s">
        <v>338</v>
      </c>
      <c r="Q56" s="8" t="s">
        <v>345</v>
      </c>
      <c r="R56" s="8" t="s">
        <v>857</v>
      </c>
      <c r="S56" s="3" t="s">
        <v>340</v>
      </c>
      <c r="T56" s="3" t="s">
        <v>333</v>
      </c>
      <c r="U56" s="3" t="s">
        <v>387</v>
      </c>
      <c r="V56" s="8" t="s">
        <v>393</v>
      </c>
      <c r="W56" s="12" t="s">
        <v>275</v>
      </c>
      <c r="X56" s="8" t="s">
        <v>389</v>
      </c>
      <c r="Y56" s="8" t="s">
        <v>748</v>
      </c>
      <c r="Z56" s="8" t="s">
        <v>748</v>
      </c>
      <c r="AA56" s="8" t="s">
        <v>623</v>
      </c>
      <c r="AB56" s="69" t="s">
        <v>723</v>
      </c>
      <c r="AC56" s="3" t="s">
        <v>763</v>
      </c>
      <c r="AD56" s="3" t="s">
        <v>419</v>
      </c>
      <c r="AE56" s="3" t="s">
        <v>770</v>
      </c>
      <c r="AF56" s="3" t="s">
        <v>473</v>
      </c>
      <c r="AG56" s="70" t="s">
        <v>482</v>
      </c>
      <c r="AH56" s="8" t="s">
        <v>497</v>
      </c>
      <c r="AI56" s="3" t="s">
        <v>502</v>
      </c>
      <c r="AJ56" s="8" t="s">
        <v>789</v>
      </c>
      <c r="AK56" s="8" t="s">
        <v>579</v>
      </c>
      <c r="AL56" s="71" t="s">
        <v>949</v>
      </c>
      <c r="AM56" s="72" t="s">
        <v>613</v>
      </c>
      <c r="AN56" s="51">
        <v>29</v>
      </c>
      <c r="AO56" s="51">
        <v>34</v>
      </c>
      <c r="AP56" s="51">
        <v>22</v>
      </c>
      <c r="AQ56" s="51">
        <v>1.55</v>
      </c>
      <c r="AR56" s="51">
        <v>10</v>
      </c>
      <c r="AS56" s="73" t="s">
        <v>658</v>
      </c>
    </row>
    <row r="57" spans="1:45" ht="19.5" customHeight="1" x14ac:dyDescent="0.35">
      <c r="A57" s="67" t="s">
        <v>59</v>
      </c>
      <c r="B57" s="3" t="s">
        <v>146</v>
      </c>
      <c r="C57" s="3">
        <v>2016</v>
      </c>
      <c r="D57" s="3" t="s">
        <v>189</v>
      </c>
      <c r="E57" s="3" t="s">
        <v>270</v>
      </c>
      <c r="F57" s="3" t="s">
        <v>275</v>
      </c>
      <c r="G57" s="9">
        <v>8.0000000000000002E-3</v>
      </c>
      <c r="H57" s="9">
        <v>0.75</v>
      </c>
      <c r="I57" s="3" t="s">
        <v>287</v>
      </c>
      <c r="J57" s="3">
        <v>2016</v>
      </c>
      <c r="K57" s="3" t="s">
        <v>283</v>
      </c>
      <c r="L57" s="68">
        <v>2</v>
      </c>
      <c r="M57" s="51">
        <v>5</v>
      </c>
      <c r="N57" s="51">
        <v>10</v>
      </c>
      <c r="O57" s="51">
        <v>49</v>
      </c>
      <c r="P57" s="3" t="s">
        <v>338</v>
      </c>
      <c r="Q57" s="8" t="s">
        <v>339</v>
      </c>
      <c r="R57" s="8" t="s">
        <v>857</v>
      </c>
      <c r="S57" s="3" t="s">
        <v>332</v>
      </c>
      <c r="T57" s="3" t="s">
        <v>333</v>
      </c>
      <c r="U57" s="3" t="s">
        <v>387</v>
      </c>
      <c r="V57" s="8" t="s">
        <v>393</v>
      </c>
      <c r="W57" s="12" t="s">
        <v>275</v>
      </c>
      <c r="X57" s="8" t="s">
        <v>404</v>
      </c>
      <c r="Y57" s="8" t="s">
        <v>754</v>
      </c>
      <c r="Z57" s="8" t="s">
        <v>754</v>
      </c>
      <c r="AA57" s="8" t="s">
        <v>623</v>
      </c>
      <c r="AB57" s="69" t="s">
        <v>724</v>
      </c>
      <c r="AC57" s="3" t="s">
        <v>427</v>
      </c>
      <c r="AD57" s="3" t="s">
        <v>769</v>
      </c>
      <c r="AE57" s="3" t="s">
        <v>771</v>
      </c>
      <c r="AF57" s="3" t="s">
        <v>275</v>
      </c>
      <c r="AG57" s="70" t="s">
        <v>781</v>
      </c>
      <c r="AH57" s="8" t="s">
        <v>275</v>
      </c>
      <c r="AI57" s="3" t="s">
        <v>275</v>
      </c>
      <c r="AJ57" s="8" t="s">
        <v>275</v>
      </c>
      <c r="AK57" s="8" t="s">
        <v>275</v>
      </c>
      <c r="AL57" s="71" t="s">
        <v>275</v>
      </c>
      <c r="AM57" s="72" t="s">
        <v>275</v>
      </c>
      <c r="AN57" s="51" t="s">
        <v>275</v>
      </c>
      <c r="AO57" s="51" t="s">
        <v>275</v>
      </c>
      <c r="AP57" s="51" t="s">
        <v>275</v>
      </c>
      <c r="AQ57" s="51" t="s">
        <v>275</v>
      </c>
      <c r="AR57" s="51" t="s">
        <v>275</v>
      </c>
      <c r="AS57" s="73" t="s">
        <v>275</v>
      </c>
    </row>
    <row r="58" spans="1:45" ht="19.5" customHeight="1" x14ac:dyDescent="0.35">
      <c r="A58" s="67" t="s">
        <v>60</v>
      </c>
      <c r="B58" s="3" t="s">
        <v>147</v>
      </c>
      <c r="C58" s="3">
        <v>2025</v>
      </c>
      <c r="D58" s="3" t="s">
        <v>186</v>
      </c>
      <c r="E58" s="3" t="s">
        <v>269</v>
      </c>
      <c r="F58" s="3">
        <v>1570</v>
      </c>
      <c r="G58" s="8" t="s">
        <v>275</v>
      </c>
      <c r="H58" s="3" t="s">
        <v>275</v>
      </c>
      <c r="I58" s="3" t="s">
        <v>287</v>
      </c>
      <c r="J58" s="3">
        <v>2023</v>
      </c>
      <c r="K58" s="74" t="s">
        <v>294</v>
      </c>
      <c r="L58" s="51">
        <v>3</v>
      </c>
      <c r="M58" s="51">
        <v>2</v>
      </c>
      <c r="N58" s="51">
        <v>6</v>
      </c>
      <c r="O58" s="51">
        <v>3</v>
      </c>
      <c r="P58" s="3" t="s">
        <v>334</v>
      </c>
      <c r="Q58" s="8" t="s">
        <v>339</v>
      </c>
      <c r="R58" s="8" t="s">
        <v>857</v>
      </c>
      <c r="S58" s="3" t="s">
        <v>332</v>
      </c>
      <c r="T58" s="3" t="s">
        <v>333</v>
      </c>
      <c r="U58" s="3" t="s">
        <v>387</v>
      </c>
      <c r="V58" s="8" t="s">
        <v>403</v>
      </c>
      <c r="W58" s="12" t="s">
        <v>275</v>
      </c>
      <c r="X58" s="8" t="s">
        <v>389</v>
      </c>
      <c r="Y58" s="8" t="s">
        <v>748</v>
      </c>
      <c r="Z58" s="8" t="s">
        <v>748</v>
      </c>
      <c r="AA58" s="8" t="s">
        <v>623</v>
      </c>
      <c r="AB58" s="69" t="s">
        <v>725</v>
      </c>
      <c r="AC58" s="3" t="s">
        <v>758</v>
      </c>
      <c r="AD58" s="3" t="s">
        <v>419</v>
      </c>
      <c r="AE58" s="3" t="s">
        <v>772</v>
      </c>
      <c r="AF58" s="3" t="s">
        <v>275</v>
      </c>
      <c r="AG58" s="70" t="s">
        <v>482</v>
      </c>
      <c r="AH58" s="8" t="s">
        <v>786</v>
      </c>
      <c r="AI58" s="3" t="s">
        <v>502</v>
      </c>
      <c r="AJ58" s="8" t="s">
        <v>789</v>
      </c>
      <c r="AK58" s="8" t="s">
        <v>795</v>
      </c>
      <c r="AL58" s="71" t="s">
        <v>948</v>
      </c>
      <c r="AM58" s="72" t="s">
        <v>671</v>
      </c>
      <c r="AN58" s="51">
        <v>3</v>
      </c>
      <c r="AO58" s="51">
        <v>61</v>
      </c>
      <c r="AP58" s="51">
        <v>51</v>
      </c>
      <c r="AQ58" s="51">
        <v>1.2</v>
      </c>
      <c r="AR58" s="51">
        <v>38.5</v>
      </c>
      <c r="AS58" s="73" t="s">
        <v>611</v>
      </c>
    </row>
    <row r="59" spans="1:45" ht="19.5" customHeight="1" x14ac:dyDescent="0.35">
      <c r="A59" s="67" t="s">
        <v>61</v>
      </c>
      <c r="B59" s="3" t="s">
        <v>148</v>
      </c>
      <c r="C59" s="3">
        <v>2025</v>
      </c>
      <c r="D59" s="3" t="s">
        <v>186</v>
      </c>
      <c r="E59" s="3" t="s">
        <v>269</v>
      </c>
      <c r="F59" s="3">
        <v>206</v>
      </c>
      <c r="G59" s="8" t="s">
        <v>275</v>
      </c>
      <c r="H59" s="3" t="s">
        <v>275</v>
      </c>
      <c r="I59" s="3" t="s">
        <v>281</v>
      </c>
      <c r="J59" s="3">
        <v>2023</v>
      </c>
      <c r="K59" s="74" t="s">
        <v>283</v>
      </c>
      <c r="L59" s="51">
        <v>3</v>
      </c>
      <c r="M59" s="51">
        <v>5</v>
      </c>
      <c r="N59" s="51">
        <v>15</v>
      </c>
      <c r="O59" s="51">
        <v>30</v>
      </c>
      <c r="P59" s="3" t="s">
        <v>338</v>
      </c>
      <c r="Q59" s="8" t="s">
        <v>324</v>
      </c>
      <c r="R59" s="8" t="s">
        <v>857</v>
      </c>
      <c r="S59" s="3" t="s">
        <v>326</v>
      </c>
      <c r="T59" s="3" t="s">
        <v>375</v>
      </c>
      <c r="U59" s="3" t="s">
        <v>387</v>
      </c>
      <c r="V59" s="8" t="s">
        <v>388</v>
      </c>
      <c r="W59" s="12" t="s">
        <v>704</v>
      </c>
      <c r="X59" s="8" t="s">
        <v>389</v>
      </c>
      <c r="Y59" s="8" t="s">
        <v>748</v>
      </c>
      <c r="Z59" s="8" t="s">
        <v>748</v>
      </c>
      <c r="AA59" s="8" t="s">
        <v>623</v>
      </c>
      <c r="AB59" s="69" t="s">
        <v>717</v>
      </c>
      <c r="AC59" s="3" t="s">
        <v>427</v>
      </c>
      <c r="AD59" s="3" t="s">
        <v>419</v>
      </c>
      <c r="AE59" s="3" t="s">
        <v>475</v>
      </c>
      <c r="AF59" s="3">
        <v>170</v>
      </c>
      <c r="AG59" s="70" t="s">
        <v>482</v>
      </c>
      <c r="AH59" s="8" t="s">
        <v>497</v>
      </c>
      <c r="AI59" s="3" t="s">
        <v>502</v>
      </c>
      <c r="AJ59" s="8" t="s">
        <v>275</v>
      </c>
      <c r="AK59" s="8" t="s">
        <v>584</v>
      </c>
      <c r="AL59" s="71" t="s">
        <v>948</v>
      </c>
      <c r="AM59" s="72" t="s">
        <v>674</v>
      </c>
      <c r="AN59" s="51">
        <v>30</v>
      </c>
      <c r="AO59" s="51">
        <v>24</v>
      </c>
      <c r="AP59" s="51">
        <v>18</v>
      </c>
      <c r="AQ59" s="51">
        <v>1.33</v>
      </c>
      <c r="AR59" s="51">
        <v>11</v>
      </c>
      <c r="AS59" s="73" t="s">
        <v>611</v>
      </c>
    </row>
    <row r="60" spans="1:45" ht="19.5" customHeight="1" x14ac:dyDescent="0.35">
      <c r="A60" s="67" t="s">
        <v>62</v>
      </c>
      <c r="B60" s="3" t="s">
        <v>149</v>
      </c>
      <c r="C60" s="3">
        <v>2026</v>
      </c>
      <c r="D60" s="3" t="s">
        <v>186</v>
      </c>
      <c r="E60" s="3" t="s">
        <v>269</v>
      </c>
      <c r="F60" s="3" t="s">
        <v>275</v>
      </c>
      <c r="G60" s="8" t="s">
        <v>275</v>
      </c>
      <c r="H60" s="3" t="s">
        <v>275</v>
      </c>
      <c r="I60" s="3" t="s">
        <v>281</v>
      </c>
      <c r="J60" s="3">
        <v>2024</v>
      </c>
      <c r="K60" s="3" t="s">
        <v>283</v>
      </c>
      <c r="L60" s="51">
        <v>1</v>
      </c>
      <c r="M60" s="51">
        <v>15</v>
      </c>
      <c r="N60" s="51">
        <v>15</v>
      </c>
      <c r="O60" s="51">
        <v>14</v>
      </c>
      <c r="P60" s="3" t="s">
        <v>338</v>
      </c>
      <c r="Q60" s="8" t="s">
        <v>324</v>
      </c>
      <c r="R60" s="8" t="s">
        <v>857</v>
      </c>
      <c r="S60" s="3" t="s">
        <v>326</v>
      </c>
      <c r="T60" s="3" t="s">
        <v>342</v>
      </c>
      <c r="U60" s="3" t="s">
        <v>387</v>
      </c>
      <c r="V60" s="8" t="s">
        <v>403</v>
      </c>
      <c r="W60" s="12" t="s">
        <v>705</v>
      </c>
      <c r="X60" s="8" t="s">
        <v>389</v>
      </c>
      <c r="Y60" s="8" t="s">
        <v>748</v>
      </c>
      <c r="Z60" s="8" t="s">
        <v>748</v>
      </c>
      <c r="AA60" s="8" t="s">
        <v>623</v>
      </c>
      <c r="AB60" s="8" t="s">
        <v>717</v>
      </c>
      <c r="AC60" s="3" t="s">
        <v>758</v>
      </c>
      <c r="AD60" s="3" t="s">
        <v>440</v>
      </c>
      <c r="AE60" s="3" t="s">
        <v>779</v>
      </c>
      <c r="AF60" s="3" t="s">
        <v>275</v>
      </c>
      <c r="AG60" s="8" t="s">
        <v>482</v>
      </c>
      <c r="AH60" s="8" t="s">
        <v>497</v>
      </c>
      <c r="AI60" s="3" t="s">
        <v>502</v>
      </c>
      <c r="AJ60" s="8" t="s">
        <v>789</v>
      </c>
      <c r="AK60" s="8" t="s">
        <v>587</v>
      </c>
      <c r="AL60" s="71" t="s">
        <v>948</v>
      </c>
      <c r="AM60" s="3" t="s">
        <v>675</v>
      </c>
      <c r="AN60" s="51">
        <v>14</v>
      </c>
      <c r="AO60" s="51">
        <v>211</v>
      </c>
      <c r="AP60" s="51">
        <v>19</v>
      </c>
      <c r="AQ60" s="51">
        <v>11.11</v>
      </c>
      <c r="AR60" s="51">
        <v>9.5</v>
      </c>
      <c r="AS60" s="51" t="s">
        <v>658</v>
      </c>
    </row>
    <row r="61" spans="1:45" ht="19.5" customHeight="1" x14ac:dyDescent="0.35">
      <c r="H61" s="3"/>
    </row>
  </sheetData>
  <autoFilter ref="A2:AS60" xr:uid="{AA1862FA-D750-4AA2-9299-68CF003A8A06}">
    <sortState xmlns:xlrd2="http://schemas.microsoft.com/office/spreadsheetml/2017/richdata2" ref="A3:AS60">
      <sortCondition ref="B2:B60"/>
    </sortState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ECD5-AF14-481D-84C6-AA3B1CA3E8B3}">
  <dimension ref="A1:R112"/>
  <sheetViews>
    <sheetView zoomScale="115" zoomScaleNormal="115" workbookViewId="0"/>
  </sheetViews>
  <sheetFormatPr defaultColWidth="15.08984375" defaultRowHeight="19" customHeight="1" x14ac:dyDescent="0.35"/>
  <cols>
    <col min="1" max="1" width="30.54296875" style="2" customWidth="1"/>
    <col min="2" max="2" width="15.08984375" style="2"/>
    <col min="3" max="3" width="16.6328125" style="8" customWidth="1"/>
    <col min="4" max="4" width="15.08984375" style="2"/>
    <col min="5" max="5" width="15.08984375" style="3"/>
    <col min="6" max="6" width="23.81640625" style="2" customWidth="1"/>
    <col min="7" max="7" width="19.36328125" style="2" customWidth="1"/>
    <col min="8" max="8" width="20.7265625" style="2" customWidth="1"/>
    <col min="9" max="9" width="15.08984375" style="2"/>
    <col min="10" max="10" width="21.08984375" style="2" customWidth="1"/>
    <col min="11" max="11" width="15.08984375" style="2"/>
    <col min="12" max="12" width="22.453125" style="2" customWidth="1"/>
    <col min="13" max="13" width="15.08984375" style="2"/>
    <col min="14" max="14" width="22.90625" style="2" customWidth="1"/>
    <col min="15" max="17" width="15.08984375" style="2"/>
    <col min="18" max="18" width="70.36328125" style="3" customWidth="1"/>
    <col min="19" max="16384" width="15.08984375" style="2"/>
  </cols>
  <sheetData>
    <row r="1" spans="1:18" ht="19" customHeight="1" x14ac:dyDescent="0.35">
      <c r="A1" s="2" t="s">
        <v>983</v>
      </c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9" customHeight="1" x14ac:dyDescent="0.35">
      <c r="A2" s="127" t="s">
        <v>816</v>
      </c>
      <c r="B2" s="128"/>
      <c r="C2" s="128"/>
      <c r="E2" s="127" t="s">
        <v>817</v>
      </c>
      <c r="F2" s="127"/>
      <c r="G2" s="127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19" customHeight="1" x14ac:dyDescent="0.35">
      <c r="A3" s="18" t="s">
        <v>813</v>
      </c>
      <c r="B3" s="18" t="s">
        <v>814</v>
      </c>
      <c r="C3" s="18" t="s">
        <v>842</v>
      </c>
      <c r="E3" s="18" t="s">
        <v>832</v>
      </c>
      <c r="F3" s="18" t="s">
        <v>814</v>
      </c>
      <c r="G3" s="18" t="s">
        <v>842</v>
      </c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9" customHeight="1" x14ac:dyDescent="0.35">
      <c r="A4" s="25">
        <v>2015</v>
      </c>
      <c r="B4" s="25">
        <v>1</v>
      </c>
      <c r="C4" s="26">
        <f>B4/58</f>
        <v>1.7241379310344827E-2</v>
      </c>
      <c r="E4" s="25" t="s">
        <v>185</v>
      </c>
      <c r="F4" s="25">
        <v>33</v>
      </c>
      <c r="G4" s="26">
        <f>F4/58</f>
        <v>0.56896551724137934</v>
      </c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9" customHeight="1" x14ac:dyDescent="0.35">
      <c r="A5" s="25">
        <v>2016</v>
      </c>
      <c r="B5" s="25">
        <v>5</v>
      </c>
      <c r="C5" s="26">
        <f t="shared" ref="C5:C14" si="0">B5/58</f>
        <v>8.6206896551724144E-2</v>
      </c>
      <c r="E5" s="25" t="s">
        <v>186</v>
      </c>
      <c r="F5" s="25">
        <v>11</v>
      </c>
      <c r="G5" s="26">
        <f t="shared" ref="G5:G8" si="1">F5/58</f>
        <v>0.18965517241379309</v>
      </c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9" customHeight="1" x14ac:dyDescent="0.35">
      <c r="A6" s="25">
        <v>2018</v>
      </c>
      <c r="B6" s="25">
        <v>5</v>
      </c>
      <c r="C6" s="26">
        <f t="shared" si="0"/>
        <v>8.6206896551724144E-2</v>
      </c>
      <c r="E6" s="25" t="s">
        <v>189</v>
      </c>
      <c r="F6" s="25">
        <v>9</v>
      </c>
      <c r="G6" s="26">
        <f t="shared" si="1"/>
        <v>0.15517241379310345</v>
      </c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9" customHeight="1" x14ac:dyDescent="0.35">
      <c r="A7" s="25">
        <v>2019</v>
      </c>
      <c r="B7" s="25">
        <v>6</v>
      </c>
      <c r="C7" s="26">
        <f t="shared" si="0"/>
        <v>0.10344827586206896</v>
      </c>
      <c r="E7" s="25" t="s">
        <v>188</v>
      </c>
      <c r="F7" s="25">
        <v>3</v>
      </c>
      <c r="G7" s="26">
        <f t="shared" si="1"/>
        <v>5.1724137931034482E-2</v>
      </c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19" customHeight="1" x14ac:dyDescent="0.35">
      <c r="A8" s="25">
        <v>2020</v>
      </c>
      <c r="B8" s="25">
        <v>5</v>
      </c>
      <c r="C8" s="26">
        <f t="shared" si="0"/>
        <v>8.6206896551724144E-2</v>
      </c>
      <c r="E8" s="25" t="s">
        <v>187</v>
      </c>
      <c r="F8" s="25">
        <v>2</v>
      </c>
      <c r="G8" s="26">
        <f t="shared" si="1"/>
        <v>3.4482758620689655E-2</v>
      </c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19" customHeight="1" x14ac:dyDescent="0.35">
      <c r="A9" s="25">
        <v>2021</v>
      </c>
      <c r="B9" s="25">
        <v>12</v>
      </c>
      <c r="C9" s="26">
        <f t="shared" si="0"/>
        <v>0.20689655172413793</v>
      </c>
      <c r="E9" s="23" t="s">
        <v>822</v>
      </c>
      <c r="F9" s="23">
        <f>SUM(F4:F8)</f>
        <v>58</v>
      </c>
      <c r="G9" s="28">
        <f>SUM(G4:G8)</f>
        <v>0.99999999999999989</v>
      </c>
      <c r="H9" s="2" t="s">
        <v>945</v>
      </c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19" customHeight="1" x14ac:dyDescent="0.35">
      <c r="A10" s="25">
        <v>2022</v>
      </c>
      <c r="B10" s="25">
        <v>2</v>
      </c>
      <c r="C10" s="26">
        <f t="shared" si="0"/>
        <v>3.4482758620689655E-2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19" customHeight="1" x14ac:dyDescent="0.35">
      <c r="A11" s="25">
        <v>2023</v>
      </c>
      <c r="B11" s="25">
        <v>5</v>
      </c>
      <c r="C11" s="26">
        <f t="shared" si="0"/>
        <v>8.6206896551724144E-2</v>
      </c>
      <c r="E11" s="127" t="s">
        <v>843</v>
      </c>
      <c r="F11" s="128"/>
      <c r="G11" s="128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19" customHeight="1" x14ac:dyDescent="0.35">
      <c r="A12" s="25">
        <v>2024</v>
      </c>
      <c r="B12" s="25">
        <v>6</v>
      </c>
      <c r="C12" s="26">
        <f t="shared" si="0"/>
        <v>0.10344827586206896</v>
      </c>
      <c r="E12" s="18" t="s">
        <v>815</v>
      </c>
      <c r="F12" s="18" t="s">
        <v>814</v>
      </c>
      <c r="G12" s="18" t="s">
        <v>842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19" customHeight="1" x14ac:dyDescent="0.35">
      <c r="A13" s="25">
        <v>2025</v>
      </c>
      <c r="B13" s="25">
        <v>7</v>
      </c>
      <c r="C13" s="26">
        <f t="shared" si="0"/>
        <v>0.1206896551724138</v>
      </c>
      <c r="E13" s="29" t="s">
        <v>283</v>
      </c>
      <c r="F13" s="29">
        <v>29</v>
      </c>
      <c r="G13" s="26">
        <f>F13/F16</f>
        <v>0.5</v>
      </c>
      <c r="Q13" s="6"/>
      <c r="R13" s="12"/>
    </row>
    <row r="14" spans="1:18" ht="19" customHeight="1" x14ac:dyDescent="0.35">
      <c r="A14" s="25">
        <v>2026</v>
      </c>
      <c r="B14" s="25">
        <v>4</v>
      </c>
      <c r="C14" s="26">
        <f t="shared" si="0"/>
        <v>6.8965517241379309E-2</v>
      </c>
      <c r="E14" s="29" t="s">
        <v>294</v>
      </c>
      <c r="F14" s="29">
        <v>25</v>
      </c>
      <c r="G14" s="26">
        <f>F14/F16</f>
        <v>0.43103448275862066</v>
      </c>
      <c r="Q14" s="6"/>
      <c r="R14" s="12"/>
    </row>
    <row r="15" spans="1:18" ht="19" customHeight="1" x14ac:dyDescent="0.35">
      <c r="A15" s="23" t="s">
        <v>822</v>
      </c>
      <c r="B15" s="23">
        <f>SUM(B4:B14)</f>
        <v>58</v>
      </c>
      <c r="C15" s="27">
        <f>SUM(C4:C14)</f>
        <v>1</v>
      </c>
      <c r="D15" s="2" t="s">
        <v>945</v>
      </c>
      <c r="E15" s="30" t="s">
        <v>289</v>
      </c>
      <c r="F15" s="30">
        <v>4</v>
      </c>
      <c r="G15" s="31">
        <f>F15/F16</f>
        <v>6.8965517241379309E-2</v>
      </c>
      <c r="Q15" s="8"/>
      <c r="R15" s="12"/>
    </row>
    <row r="16" spans="1:18" ht="19" customHeight="1" x14ac:dyDescent="0.35">
      <c r="E16" s="23" t="s">
        <v>822</v>
      </c>
      <c r="F16" s="24">
        <f>SUM(F13:F15)</f>
        <v>58</v>
      </c>
      <c r="G16" s="32">
        <f>SUM(G13:G15)</f>
        <v>1</v>
      </c>
      <c r="H16" s="2" t="s">
        <v>945</v>
      </c>
      <c r="Q16" s="8"/>
      <c r="R16" s="12"/>
    </row>
    <row r="17" spans="1:18" ht="19" customHeight="1" x14ac:dyDescent="0.35">
      <c r="N17" s="21"/>
      <c r="O17" s="8"/>
      <c r="P17" s="7"/>
      <c r="Q17" s="8"/>
    </row>
    <row r="18" spans="1:18" ht="19" customHeight="1" x14ac:dyDescent="0.35">
      <c r="A18" s="127" t="s">
        <v>915</v>
      </c>
      <c r="B18" s="127"/>
      <c r="C18" s="127"/>
      <c r="E18" s="130" t="s">
        <v>916</v>
      </c>
      <c r="F18" s="131"/>
      <c r="G18" s="131"/>
      <c r="H18" s="132"/>
      <c r="N18" s="21"/>
      <c r="O18" s="8"/>
      <c r="P18" s="7"/>
      <c r="Q18" s="8"/>
    </row>
    <row r="19" spans="1:18" ht="19" customHeight="1" x14ac:dyDescent="0.35">
      <c r="A19" s="18" t="s">
        <v>821</v>
      </c>
      <c r="B19" s="18" t="s">
        <v>814</v>
      </c>
      <c r="C19" s="18" t="s">
        <v>842</v>
      </c>
      <c r="E19" s="106"/>
      <c r="F19" s="108"/>
      <c r="G19" s="18" t="s">
        <v>927</v>
      </c>
      <c r="H19" s="106" t="s">
        <v>928</v>
      </c>
      <c r="N19" s="21"/>
      <c r="O19" s="8"/>
      <c r="P19" s="7"/>
      <c r="Q19" s="8"/>
    </row>
    <row r="20" spans="1:18" ht="19" customHeight="1" x14ac:dyDescent="0.35">
      <c r="A20" s="16" t="s">
        <v>390</v>
      </c>
      <c r="B20" s="16">
        <v>22</v>
      </c>
      <c r="C20" s="17">
        <f>B20/58</f>
        <v>0.37931034482758619</v>
      </c>
      <c r="E20" s="106" t="s">
        <v>918</v>
      </c>
      <c r="F20" s="109" t="s">
        <v>919</v>
      </c>
      <c r="G20" s="110"/>
      <c r="H20" s="110"/>
      <c r="N20" s="8"/>
      <c r="O20" s="8"/>
      <c r="P20" s="7"/>
      <c r="Q20" s="8"/>
      <c r="R20" s="129"/>
    </row>
    <row r="21" spans="1:18" ht="19" customHeight="1" x14ac:dyDescent="0.35">
      <c r="A21" s="16" t="s">
        <v>387</v>
      </c>
      <c r="B21" s="16">
        <v>36</v>
      </c>
      <c r="C21" s="17">
        <f>B21/58</f>
        <v>0.62068965517241381</v>
      </c>
      <c r="E21" s="133" t="s">
        <v>324</v>
      </c>
      <c r="F21" s="105" t="s">
        <v>920</v>
      </c>
      <c r="G21" s="2">
        <v>18</v>
      </c>
      <c r="H21" s="2">
        <v>0</v>
      </c>
      <c r="N21" s="8"/>
      <c r="O21" s="8"/>
      <c r="P21" s="7"/>
      <c r="Q21" s="8"/>
      <c r="R21" s="129"/>
    </row>
    <row r="22" spans="1:18" ht="19" customHeight="1" x14ac:dyDescent="0.35">
      <c r="A22" s="23" t="s">
        <v>822</v>
      </c>
      <c r="B22" s="24">
        <f>SUM(B20:B21)</f>
        <v>58</v>
      </c>
      <c r="C22" s="32">
        <f>SUM(C19:C21)</f>
        <v>1</v>
      </c>
      <c r="D22" s="2" t="s">
        <v>945</v>
      </c>
      <c r="E22" s="133"/>
      <c r="F22" s="105" t="s">
        <v>917</v>
      </c>
      <c r="G22" s="2">
        <v>6</v>
      </c>
      <c r="H22" s="2">
        <v>4</v>
      </c>
      <c r="N22" s="8"/>
      <c r="O22" s="8"/>
      <c r="P22" s="7"/>
      <c r="Q22" s="8"/>
      <c r="R22" s="22"/>
    </row>
    <row r="23" spans="1:18" ht="19" customHeight="1" x14ac:dyDescent="0.35">
      <c r="E23" s="133" t="s">
        <v>367</v>
      </c>
      <c r="F23" s="105" t="s">
        <v>920</v>
      </c>
      <c r="G23" s="2">
        <v>1</v>
      </c>
      <c r="H23" s="2">
        <v>0</v>
      </c>
      <c r="N23" s="8"/>
      <c r="O23" s="8"/>
      <c r="P23" s="7"/>
      <c r="Q23" s="8"/>
    </row>
    <row r="24" spans="1:18" ht="19" customHeight="1" x14ac:dyDescent="0.35">
      <c r="A24" s="127" t="s">
        <v>861</v>
      </c>
      <c r="B24" s="127"/>
      <c r="C24" s="127"/>
      <c r="E24" s="133"/>
      <c r="F24" s="105" t="s">
        <v>917</v>
      </c>
      <c r="G24" s="2">
        <v>2</v>
      </c>
      <c r="H24" s="2">
        <v>0</v>
      </c>
    </row>
    <row r="25" spans="1:18" ht="19" customHeight="1" x14ac:dyDescent="0.35">
      <c r="A25" s="18" t="s">
        <v>815</v>
      </c>
      <c r="B25" s="18" t="s">
        <v>814</v>
      </c>
      <c r="C25" s="18" t="s">
        <v>842</v>
      </c>
      <c r="E25" s="107" t="s">
        <v>921</v>
      </c>
      <c r="F25" s="105" t="s">
        <v>917</v>
      </c>
      <c r="G25" s="2">
        <v>4</v>
      </c>
      <c r="H25" s="2">
        <v>14</v>
      </c>
      <c r="R25" s="2"/>
    </row>
    <row r="26" spans="1:18" ht="19" customHeight="1" x14ac:dyDescent="0.35">
      <c r="A26" s="34" t="s">
        <v>818</v>
      </c>
      <c r="B26" s="34">
        <v>17</v>
      </c>
      <c r="C26" s="112">
        <f>B26/B29</f>
        <v>0.29310344827586204</v>
      </c>
      <c r="E26" s="133" t="s">
        <v>345</v>
      </c>
      <c r="F26" s="105" t="s">
        <v>920</v>
      </c>
      <c r="G26" s="2">
        <v>1</v>
      </c>
      <c r="H26" s="2">
        <v>0</v>
      </c>
      <c r="R26" s="2"/>
    </row>
    <row r="27" spans="1:18" ht="19" customHeight="1" x14ac:dyDescent="0.35">
      <c r="A27" s="34" t="s">
        <v>819</v>
      </c>
      <c r="B27" s="34">
        <v>20</v>
      </c>
      <c r="C27" s="112">
        <f>B27/B29</f>
        <v>0.34482758620689657</v>
      </c>
      <c r="E27" s="133"/>
      <c r="F27" s="105" t="s">
        <v>917</v>
      </c>
      <c r="G27" s="2">
        <v>2</v>
      </c>
      <c r="H27" s="2">
        <v>0</v>
      </c>
      <c r="R27" s="2"/>
    </row>
    <row r="28" spans="1:18" ht="19" customHeight="1" x14ac:dyDescent="0.35">
      <c r="A28" s="34" t="s">
        <v>820</v>
      </c>
      <c r="B28" s="34">
        <v>21</v>
      </c>
      <c r="C28" s="112">
        <f>B28/B29</f>
        <v>0.36206896551724138</v>
      </c>
      <c r="E28" s="133" t="s">
        <v>922</v>
      </c>
      <c r="F28" s="105" t="s">
        <v>920</v>
      </c>
      <c r="G28" s="2">
        <v>1</v>
      </c>
      <c r="H28" s="2">
        <v>0</v>
      </c>
      <c r="R28" s="2"/>
    </row>
    <row r="29" spans="1:18" ht="19" customHeight="1" x14ac:dyDescent="0.35">
      <c r="A29" s="23" t="s">
        <v>822</v>
      </c>
      <c r="B29" s="24">
        <f>SUM(B26:B28)</f>
        <v>58</v>
      </c>
      <c r="C29" s="27">
        <f>SUM(C26:C28)</f>
        <v>1</v>
      </c>
      <c r="D29" s="2" t="s">
        <v>945</v>
      </c>
      <c r="E29" s="133"/>
      <c r="F29" s="105" t="s">
        <v>917</v>
      </c>
      <c r="G29" s="2">
        <v>2</v>
      </c>
      <c r="H29" s="2">
        <v>3</v>
      </c>
      <c r="I29" s="2" t="s">
        <v>945</v>
      </c>
      <c r="R29" s="2"/>
    </row>
    <row r="30" spans="1:18" ht="19" customHeight="1" x14ac:dyDescent="0.35">
      <c r="C30" s="2"/>
      <c r="E30" s="2"/>
      <c r="Q30" s="1"/>
      <c r="R30" s="2"/>
    </row>
    <row r="31" spans="1:18" ht="19" customHeight="1" x14ac:dyDescent="0.35">
      <c r="A31" s="23" t="s">
        <v>862</v>
      </c>
      <c r="B31" s="23"/>
      <c r="C31" s="10"/>
      <c r="D31" s="10"/>
      <c r="E31" s="2"/>
      <c r="R31" s="2"/>
    </row>
    <row r="32" spans="1:18" ht="19" customHeight="1" x14ac:dyDescent="0.35">
      <c r="A32" s="18" t="s">
        <v>815</v>
      </c>
      <c r="B32" s="18" t="s">
        <v>814</v>
      </c>
      <c r="C32" s="6"/>
      <c r="D32" s="6"/>
      <c r="E32" s="2"/>
      <c r="R32" s="2"/>
    </row>
    <row r="33" spans="1:18" ht="19" customHeight="1" x14ac:dyDescent="0.35">
      <c r="A33" s="29" t="s">
        <v>833</v>
      </c>
      <c r="B33" s="29">
        <v>13</v>
      </c>
      <c r="C33" s="15" t="s">
        <v>864</v>
      </c>
      <c r="D33" s="14"/>
      <c r="E33" s="2"/>
      <c r="R33" s="2"/>
    </row>
    <row r="34" spans="1:18" ht="19" customHeight="1" x14ac:dyDescent="0.35">
      <c r="A34" s="29" t="s">
        <v>391</v>
      </c>
      <c r="B34" s="29">
        <v>19</v>
      </c>
      <c r="C34" s="7"/>
      <c r="D34" s="14"/>
      <c r="R34" s="111"/>
    </row>
    <row r="35" spans="1:18" ht="19" customHeight="1" x14ac:dyDescent="0.35">
      <c r="A35" s="29" t="s">
        <v>834</v>
      </c>
      <c r="B35" s="29">
        <v>13</v>
      </c>
      <c r="C35" s="7"/>
      <c r="D35" s="14"/>
      <c r="K35" s="8"/>
    </row>
    <row r="36" spans="1:18" ht="19" customHeight="1" x14ac:dyDescent="0.35">
      <c r="A36" s="29" t="s">
        <v>835</v>
      </c>
      <c r="B36" s="29">
        <v>6</v>
      </c>
      <c r="C36" s="7"/>
      <c r="D36" s="14"/>
    </row>
    <row r="37" spans="1:18" ht="19" customHeight="1" x14ac:dyDescent="0.35">
      <c r="A37" s="29" t="s">
        <v>841</v>
      </c>
      <c r="B37" s="29">
        <v>8</v>
      </c>
      <c r="C37" s="7" t="s">
        <v>945</v>
      </c>
      <c r="D37" s="14"/>
    </row>
    <row r="38" spans="1:18" ht="19" customHeight="1" x14ac:dyDescent="0.35">
      <c r="A38" s="20"/>
      <c r="B38" s="13"/>
      <c r="C38" s="19"/>
    </row>
    <row r="39" spans="1:18" ht="19" customHeight="1" x14ac:dyDescent="0.35">
      <c r="A39" s="23" t="s">
        <v>863</v>
      </c>
      <c r="B39" s="23"/>
      <c r="C39" s="23"/>
    </row>
    <row r="40" spans="1:18" ht="19" customHeight="1" x14ac:dyDescent="0.35">
      <c r="A40" s="18" t="s">
        <v>865</v>
      </c>
      <c r="B40" s="18" t="s">
        <v>814</v>
      </c>
      <c r="C40" s="18" t="s">
        <v>842</v>
      </c>
    </row>
    <row r="41" spans="1:18" ht="19" customHeight="1" x14ac:dyDescent="0.35">
      <c r="A41" s="34" t="s">
        <v>866</v>
      </c>
      <c r="B41" s="34">
        <v>8</v>
      </c>
      <c r="C41" s="35">
        <f>B41/58</f>
        <v>0.13793103448275862</v>
      </c>
    </row>
    <row r="42" spans="1:18" ht="19" customHeight="1" x14ac:dyDescent="0.35">
      <c r="A42" s="34" t="s">
        <v>867</v>
      </c>
      <c r="B42" s="34">
        <v>32</v>
      </c>
      <c r="C42" s="35">
        <f t="shared" ref="C42:C45" si="2">B42/58</f>
        <v>0.55172413793103448</v>
      </c>
      <c r="E42" s="2"/>
    </row>
    <row r="43" spans="1:18" ht="19" customHeight="1" x14ac:dyDescent="0.35">
      <c r="A43" s="34" t="s">
        <v>868</v>
      </c>
      <c r="B43" s="34">
        <v>8</v>
      </c>
      <c r="C43" s="35">
        <f t="shared" si="2"/>
        <v>0.13793103448275862</v>
      </c>
    </row>
    <row r="44" spans="1:18" ht="19" customHeight="1" x14ac:dyDescent="0.35">
      <c r="A44" s="34" t="s">
        <v>869</v>
      </c>
      <c r="B44" s="34">
        <v>10</v>
      </c>
      <c r="C44" s="35">
        <f t="shared" si="2"/>
        <v>0.17241379310344829</v>
      </c>
    </row>
    <row r="45" spans="1:18" ht="19" customHeight="1" x14ac:dyDescent="0.35">
      <c r="A45" s="23" t="s">
        <v>822</v>
      </c>
      <c r="B45" s="23">
        <f>SUM(B41:B44)</f>
        <v>58</v>
      </c>
      <c r="C45" s="28">
        <f t="shared" si="2"/>
        <v>1</v>
      </c>
      <c r="D45" s="2" t="s">
        <v>945</v>
      </c>
    </row>
    <row r="46" spans="1:18" ht="19" customHeight="1" x14ac:dyDescent="0.35">
      <c r="C46" s="2"/>
      <c r="K46" s="8"/>
    </row>
    <row r="47" spans="1:18" ht="19" customHeight="1" x14ac:dyDescent="0.35">
      <c r="A47" s="23" t="s">
        <v>876</v>
      </c>
      <c r="B47" s="24"/>
      <c r="C47" s="23"/>
    </row>
    <row r="48" spans="1:18" ht="19" customHeight="1" x14ac:dyDescent="0.35">
      <c r="A48" s="18" t="s">
        <v>870</v>
      </c>
      <c r="B48" s="18" t="s">
        <v>814</v>
      </c>
      <c r="C48" s="18" t="s">
        <v>842</v>
      </c>
    </row>
    <row r="49" spans="1:5" ht="19" customHeight="1" x14ac:dyDescent="0.35">
      <c r="A49" s="36" t="s">
        <v>871</v>
      </c>
      <c r="B49" s="37">
        <v>23</v>
      </c>
      <c r="C49" s="38">
        <v>0.39700000000000002</v>
      </c>
    </row>
    <row r="50" spans="1:5" ht="19" customHeight="1" x14ac:dyDescent="0.35">
      <c r="A50" s="36" t="s">
        <v>872</v>
      </c>
      <c r="B50" s="37">
        <v>15</v>
      </c>
      <c r="C50" s="38">
        <v>0.25900000000000001</v>
      </c>
    </row>
    <row r="51" spans="1:5" ht="19" customHeight="1" x14ac:dyDescent="0.35">
      <c r="A51" s="36" t="s">
        <v>873</v>
      </c>
      <c r="B51" s="37">
        <v>10</v>
      </c>
      <c r="C51" s="38">
        <v>0.17199999999999999</v>
      </c>
    </row>
    <row r="52" spans="1:5" ht="19" customHeight="1" x14ac:dyDescent="0.35">
      <c r="A52" s="36" t="s">
        <v>874</v>
      </c>
      <c r="B52" s="37">
        <v>3</v>
      </c>
      <c r="C52" s="38">
        <v>5.1999999999999998E-2</v>
      </c>
    </row>
    <row r="53" spans="1:5" ht="19" customHeight="1" x14ac:dyDescent="0.35">
      <c r="A53" s="36" t="s">
        <v>875</v>
      </c>
      <c r="B53" s="37">
        <v>7</v>
      </c>
      <c r="C53" s="38">
        <v>0.121</v>
      </c>
    </row>
    <row r="54" spans="1:5" ht="19" customHeight="1" x14ac:dyDescent="0.35">
      <c r="A54" s="23" t="s">
        <v>822</v>
      </c>
      <c r="B54" s="23">
        <v>58</v>
      </c>
      <c r="C54" s="28">
        <v>1</v>
      </c>
      <c r="D54" s="2" t="s">
        <v>945</v>
      </c>
    </row>
    <row r="56" spans="1:5" ht="19" customHeight="1" x14ac:dyDescent="0.35">
      <c r="A56" s="127" t="s">
        <v>877</v>
      </c>
      <c r="B56" s="127"/>
      <c r="C56" s="127"/>
    </row>
    <row r="57" spans="1:5" ht="19" customHeight="1" x14ac:dyDescent="0.35">
      <c r="A57" s="18" t="s">
        <v>878</v>
      </c>
      <c r="B57" s="18" t="s">
        <v>814</v>
      </c>
      <c r="C57" s="18" t="s">
        <v>842</v>
      </c>
    </row>
    <row r="58" spans="1:5" ht="19" customHeight="1" x14ac:dyDescent="0.35">
      <c r="A58" s="39" t="s">
        <v>419</v>
      </c>
      <c r="B58" s="40">
        <v>33</v>
      </c>
      <c r="C58" s="41">
        <v>0.56899999999999995</v>
      </c>
      <c r="D58" s="5"/>
      <c r="E58" s="5"/>
    </row>
    <row r="59" spans="1:5" ht="19" customHeight="1" x14ac:dyDescent="0.35">
      <c r="A59" s="39" t="s">
        <v>417</v>
      </c>
      <c r="B59" s="40">
        <v>6</v>
      </c>
      <c r="C59" s="41">
        <v>0.10299999999999999</v>
      </c>
      <c r="D59" s="6"/>
      <c r="E59" s="6"/>
    </row>
    <row r="60" spans="1:5" ht="19" customHeight="1" x14ac:dyDescent="0.35">
      <c r="A60" s="39" t="s">
        <v>444</v>
      </c>
      <c r="B60" s="40">
        <v>6</v>
      </c>
      <c r="C60" s="41">
        <v>0.10299999999999999</v>
      </c>
      <c r="D60" s="1"/>
      <c r="E60" s="1"/>
    </row>
    <row r="61" spans="1:5" ht="19" customHeight="1" x14ac:dyDescent="0.35">
      <c r="A61" s="39" t="s">
        <v>879</v>
      </c>
      <c r="B61" s="40">
        <v>9</v>
      </c>
      <c r="C61" s="41">
        <v>0.155</v>
      </c>
      <c r="D61" s="1"/>
      <c r="E61" s="1"/>
    </row>
    <row r="62" spans="1:5" ht="19" customHeight="1" x14ac:dyDescent="0.35">
      <c r="A62" s="39" t="s">
        <v>880</v>
      </c>
      <c r="B62" s="40">
        <v>4</v>
      </c>
      <c r="C62" s="41">
        <v>6.9000000000000006E-2</v>
      </c>
    </row>
    <row r="63" spans="1:5" ht="19" customHeight="1" x14ac:dyDescent="0.35">
      <c r="A63" s="23" t="s">
        <v>822</v>
      </c>
      <c r="B63" s="23">
        <v>58</v>
      </c>
      <c r="C63" s="28">
        <v>1</v>
      </c>
      <c r="D63" s="2" t="s">
        <v>945</v>
      </c>
    </row>
    <row r="64" spans="1:5" ht="19" customHeight="1" x14ac:dyDescent="0.35">
      <c r="C64" s="2"/>
    </row>
    <row r="65" spans="1:4" ht="19" customHeight="1" x14ac:dyDescent="0.35">
      <c r="A65" s="127" t="s">
        <v>885</v>
      </c>
      <c r="B65" s="127"/>
      <c r="C65" s="127"/>
    </row>
    <row r="66" spans="1:4" ht="19" customHeight="1" x14ac:dyDescent="0.35">
      <c r="A66" s="18" t="s">
        <v>881</v>
      </c>
      <c r="B66" s="18" t="s">
        <v>814</v>
      </c>
      <c r="C66" s="18" t="s">
        <v>842</v>
      </c>
    </row>
    <row r="67" spans="1:4" ht="19" customHeight="1" x14ac:dyDescent="0.35">
      <c r="A67" s="39" t="s">
        <v>882</v>
      </c>
      <c r="B67" s="40">
        <v>14</v>
      </c>
      <c r="C67" s="41">
        <f>B67/B72</f>
        <v>0.2413793103448276</v>
      </c>
    </row>
    <row r="68" spans="1:4" ht="19" customHeight="1" x14ac:dyDescent="0.35">
      <c r="A68" s="39" t="s">
        <v>883</v>
      </c>
      <c r="B68" s="40">
        <v>14</v>
      </c>
      <c r="C68" s="41">
        <f>B68/B72</f>
        <v>0.2413793103448276</v>
      </c>
    </row>
    <row r="69" spans="1:4" ht="19" customHeight="1" x14ac:dyDescent="0.35">
      <c r="A69" s="39" t="s">
        <v>771</v>
      </c>
      <c r="B69" s="40">
        <v>16</v>
      </c>
      <c r="C69" s="41">
        <f>B69/B72</f>
        <v>0.27586206896551724</v>
      </c>
    </row>
    <row r="70" spans="1:4" ht="19" customHeight="1" x14ac:dyDescent="0.35">
      <c r="A70" s="39" t="s">
        <v>434</v>
      </c>
      <c r="B70" s="40">
        <v>3</v>
      </c>
      <c r="C70" s="41">
        <f>B70/B72</f>
        <v>5.1724137931034482E-2</v>
      </c>
    </row>
    <row r="71" spans="1:4" ht="19" customHeight="1" x14ac:dyDescent="0.35">
      <c r="A71" s="39" t="s">
        <v>884</v>
      </c>
      <c r="B71" s="40">
        <v>11</v>
      </c>
      <c r="C71" s="41">
        <f>B71/B72</f>
        <v>0.18965517241379309</v>
      </c>
    </row>
    <row r="72" spans="1:4" ht="19" customHeight="1" x14ac:dyDescent="0.35">
      <c r="A72" s="23" t="s">
        <v>822</v>
      </c>
      <c r="B72" s="23">
        <f>SUM(B67:B71)</f>
        <v>58</v>
      </c>
      <c r="C72" s="28">
        <f>SUM(C67:C71)</f>
        <v>1</v>
      </c>
      <c r="D72" s="2" t="s">
        <v>945</v>
      </c>
    </row>
    <row r="73" spans="1:4" ht="19" customHeight="1" x14ac:dyDescent="0.35">
      <c r="C73" s="2"/>
    </row>
    <row r="74" spans="1:4" ht="19" customHeight="1" x14ac:dyDescent="0.35">
      <c r="A74" s="127" t="s">
        <v>980</v>
      </c>
      <c r="B74" s="127"/>
      <c r="C74" s="127"/>
    </row>
    <row r="75" spans="1:4" ht="19" customHeight="1" x14ac:dyDescent="0.35">
      <c r="A75" s="18" t="s">
        <v>824</v>
      </c>
      <c r="B75" s="18" t="s">
        <v>814</v>
      </c>
      <c r="C75" s="18" t="s">
        <v>931</v>
      </c>
    </row>
    <row r="76" spans="1:4" ht="19" customHeight="1" x14ac:dyDescent="0.35">
      <c r="A76" s="39" t="s">
        <v>825</v>
      </c>
      <c r="B76" s="40">
        <v>19</v>
      </c>
      <c r="C76" s="41">
        <f>B76/B81</f>
        <v>0.46341463414634149</v>
      </c>
    </row>
    <row r="77" spans="1:4" ht="19" customHeight="1" x14ac:dyDescent="0.35">
      <c r="A77" s="39" t="s">
        <v>860</v>
      </c>
      <c r="B77" s="40">
        <v>7</v>
      </c>
      <c r="C77" s="41">
        <f>B77/B81</f>
        <v>0.17073170731707318</v>
      </c>
    </row>
    <row r="78" spans="1:4" ht="19" customHeight="1" x14ac:dyDescent="0.35">
      <c r="A78" s="39" t="s">
        <v>827</v>
      </c>
      <c r="B78" s="40">
        <v>11</v>
      </c>
      <c r="C78" s="41">
        <f>B78/B81</f>
        <v>0.26829268292682928</v>
      </c>
    </row>
    <row r="79" spans="1:4" ht="19" customHeight="1" x14ac:dyDescent="0.35">
      <c r="A79" s="39" t="s">
        <v>828</v>
      </c>
      <c r="B79" s="40">
        <v>2</v>
      </c>
      <c r="C79" s="41">
        <f>B79/B81</f>
        <v>4.878048780487805E-2</v>
      </c>
    </row>
    <row r="80" spans="1:4" ht="19" customHeight="1" x14ac:dyDescent="0.35">
      <c r="A80" s="39" t="s">
        <v>829</v>
      </c>
      <c r="B80" s="40">
        <v>2</v>
      </c>
      <c r="C80" s="41">
        <f>B80/B81</f>
        <v>4.878048780487805E-2</v>
      </c>
    </row>
    <row r="81" spans="1:5" ht="19" customHeight="1" x14ac:dyDescent="0.35">
      <c r="A81" s="23" t="s">
        <v>822</v>
      </c>
      <c r="B81" s="23">
        <f>58-17</f>
        <v>41</v>
      </c>
      <c r="C81" s="23" t="s">
        <v>823</v>
      </c>
      <c r="D81" s="2" t="s">
        <v>945</v>
      </c>
    </row>
    <row r="83" spans="1:5" ht="19" customHeight="1" x14ac:dyDescent="0.35">
      <c r="A83" s="127" t="s">
        <v>886</v>
      </c>
      <c r="B83" s="127"/>
      <c r="C83" s="127"/>
    </row>
    <row r="84" spans="1:5" ht="19" customHeight="1" x14ac:dyDescent="0.35">
      <c r="A84" s="18" t="s">
        <v>815</v>
      </c>
      <c r="B84" s="18" t="s">
        <v>814</v>
      </c>
      <c r="C84" s="18" t="s">
        <v>830</v>
      </c>
    </row>
    <row r="85" spans="1:5" ht="19" customHeight="1" x14ac:dyDescent="0.35">
      <c r="A85" s="42" t="s">
        <v>482</v>
      </c>
      <c r="B85" s="43">
        <v>41</v>
      </c>
      <c r="C85" s="44">
        <f>B85/58</f>
        <v>0.7068965517241379</v>
      </c>
    </row>
    <row r="86" spans="1:5" ht="19" customHeight="1" x14ac:dyDescent="0.35">
      <c r="A86" s="33" t="s">
        <v>781</v>
      </c>
      <c r="B86" s="43">
        <v>15</v>
      </c>
      <c r="C86" s="44">
        <f t="shared" ref="C86:C87" si="3">B86/58</f>
        <v>0.25862068965517243</v>
      </c>
    </row>
    <row r="87" spans="1:5" ht="19" customHeight="1" x14ac:dyDescent="0.35">
      <c r="A87" s="42" t="s">
        <v>782</v>
      </c>
      <c r="B87" s="43">
        <v>2</v>
      </c>
      <c r="C87" s="44">
        <f t="shared" si="3"/>
        <v>3.4482758620689655E-2</v>
      </c>
      <c r="D87" s="2" t="s">
        <v>945</v>
      </c>
    </row>
    <row r="89" spans="1:5" ht="19" customHeight="1" x14ac:dyDescent="0.35">
      <c r="A89" s="24" t="s">
        <v>896</v>
      </c>
      <c r="B89" s="24"/>
      <c r="C89" s="24"/>
      <c r="D89" s="24"/>
    </row>
    <row r="90" spans="1:5" ht="19" customHeight="1" x14ac:dyDescent="0.35">
      <c r="A90" s="18" t="s">
        <v>887</v>
      </c>
      <c r="B90" s="18" t="s">
        <v>814</v>
      </c>
      <c r="C90" s="18" t="s">
        <v>842</v>
      </c>
      <c r="D90" s="18" t="s">
        <v>981</v>
      </c>
    </row>
    <row r="91" spans="1:5" ht="19" customHeight="1" x14ac:dyDescent="0.35">
      <c r="A91" s="45" t="s">
        <v>497</v>
      </c>
      <c r="B91" s="46">
        <v>32</v>
      </c>
      <c r="C91" s="47">
        <f>B91/B96</f>
        <v>0.55172413793103448</v>
      </c>
      <c r="D91" s="47">
        <f>B91/47</f>
        <v>0.68085106382978722</v>
      </c>
    </row>
    <row r="92" spans="1:5" ht="19" customHeight="1" x14ac:dyDescent="0.35">
      <c r="A92" s="48" t="s">
        <v>889</v>
      </c>
      <c r="B92" s="46">
        <v>10</v>
      </c>
      <c r="C92" s="47">
        <f>B92/B96</f>
        <v>0.17241379310344829</v>
      </c>
      <c r="D92" s="47">
        <f t="shared" ref="D92:D94" si="4">B92/47</f>
        <v>0.21276595744680851</v>
      </c>
    </row>
    <row r="93" spans="1:5" ht="19" customHeight="1" x14ac:dyDescent="0.35">
      <c r="A93" s="45" t="s">
        <v>509</v>
      </c>
      <c r="B93" s="46">
        <v>4</v>
      </c>
      <c r="C93" s="47">
        <f>B93/B96</f>
        <v>6.8965517241379309E-2</v>
      </c>
      <c r="D93" s="47">
        <f t="shared" si="4"/>
        <v>8.5106382978723402E-2</v>
      </c>
    </row>
    <row r="94" spans="1:5" ht="19" customHeight="1" x14ac:dyDescent="0.35">
      <c r="A94" s="45" t="s">
        <v>888</v>
      </c>
      <c r="B94" s="46">
        <v>1</v>
      </c>
      <c r="C94" s="47">
        <f>B94/B96</f>
        <v>1.7241379310344827E-2</v>
      </c>
      <c r="D94" s="47">
        <f t="shared" si="4"/>
        <v>2.1276595744680851E-2</v>
      </c>
    </row>
    <row r="95" spans="1:5" ht="19" customHeight="1" x14ac:dyDescent="0.35">
      <c r="A95" s="45" t="s">
        <v>826</v>
      </c>
      <c r="B95" s="46">
        <v>11</v>
      </c>
      <c r="C95" s="47">
        <f>B95/B96</f>
        <v>0.18965517241379309</v>
      </c>
      <c r="D95" s="47"/>
    </row>
    <row r="96" spans="1:5" ht="19" customHeight="1" x14ac:dyDescent="0.35">
      <c r="A96" s="23" t="s">
        <v>822</v>
      </c>
      <c r="B96" s="23">
        <f>SUM(B91:B95)</f>
        <v>58</v>
      </c>
      <c r="C96" s="28">
        <v>1</v>
      </c>
      <c r="D96" s="28">
        <f>SUM(D91:D94)</f>
        <v>1</v>
      </c>
      <c r="E96" s="3" t="s">
        <v>945</v>
      </c>
    </row>
    <row r="97" spans="1:5" ht="19" customHeight="1" x14ac:dyDescent="0.35">
      <c r="C97" s="4"/>
    </row>
    <row r="98" spans="1:5" ht="19" customHeight="1" x14ac:dyDescent="0.35">
      <c r="A98" s="127" t="s">
        <v>897</v>
      </c>
      <c r="B98" s="127"/>
      <c r="C98" s="127"/>
      <c r="D98" s="127"/>
    </row>
    <row r="99" spans="1:5" ht="19" customHeight="1" x14ac:dyDescent="0.35">
      <c r="A99" s="18" t="s">
        <v>890</v>
      </c>
      <c r="B99" s="18" t="s">
        <v>814</v>
      </c>
      <c r="C99" s="18" t="s">
        <v>842</v>
      </c>
      <c r="D99" s="18" t="s">
        <v>892</v>
      </c>
    </row>
    <row r="100" spans="1:5" ht="19" customHeight="1" x14ac:dyDescent="0.35">
      <c r="A100" s="45" t="s">
        <v>502</v>
      </c>
      <c r="B100" s="46">
        <v>18</v>
      </c>
      <c r="C100" s="47">
        <f>B100/B105</f>
        <v>0.31034482758620691</v>
      </c>
      <c r="D100" s="49">
        <f>B100/41</f>
        <v>0.43902439024390244</v>
      </c>
    </row>
    <row r="101" spans="1:5" ht="19" customHeight="1" x14ac:dyDescent="0.35">
      <c r="A101" s="45" t="s">
        <v>494</v>
      </c>
      <c r="B101" s="46">
        <v>10</v>
      </c>
      <c r="C101" s="47">
        <f>B101/B105</f>
        <v>0.17241379310344829</v>
      </c>
      <c r="D101" s="49">
        <f t="shared" ref="D101:D103" si="5">B101/41</f>
        <v>0.24390243902439024</v>
      </c>
    </row>
    <row r="102" spans="1:5" ht="19" customHeight="1" x14ac:dyDescent="0.35">
      <c r="A102" s="45" t="s">
        <v>506</v>
      </c>
      <c r="B102" s="46">
        <v>9</v>
      </c>
      <c r="C102" s="47">
        <f>B102/B105</f>
        <v>0.15517241379310345</v>
      </c>
      <c r="D102" s="49">
        <f t="shared" si="5"/>
        <v>0.21951219512195122</v>
      </c>
    </row>
    <row r="103" spans="1:5" ht="19" customHeight="1" x14ac:dyDescent="0.35">
      <c r="A103" s="45" t="s">
        <v>891</v>
      </c>
      <c r="B103" s="46">
        <v>4</v>
      </c>
      <c r="C103" s="47">
        <f>B103/B105</f>
        <v>6.8965517241379309E-2</v>
      </c>
      <c r="D103" s="49">
        <f t="shared" si="5"/>
        <v>9.7560975609756101E-2</v>
      </c>
    </row>
    <row r="104" spans="1:5" ht="19" customHeight="1" x14ac:dyDescent="0.35">
      <c r="A104" s="45" t="s">
        <v>826</v>
      </c>
      <c r="B104" s="46">
        <v>17</v>
      </c>
      <c r="C104" s="47">
        <f>B104/B105</f>
        <v>0.29310344827586204</v>
      </c>
      <c r="D104" s="49"/>
    </row>
    <row r="105" spans="1:5" ht="19" customHeight="1" x14ac:dyDescent="0.35">
      <c r="A105" s="24" t="s">
        <v>822</v>
      </c>
      <c r="B105" s="24">
        <f>SUM(B100:B104)</f>
        <v>58</v>
      </c>
      <c r="C105" s="28">
        <f>SUM(C100:C104)</f>
        <v>1</v>
      </c>
      <c r="D105" s="27"/>
      <c r="E105" s="3" t="s">
        <v>945</v>
      </c>
    </row>
    <row r="107" spans="1:5" ht="19" customHeight="1" x14ac:dyDescent="0.35">
      <c r="A107" s="24" t="s">
        <v>898</v>
      </c>
      <c r="B107" s="24"/>
      <c r="C107" s="24"/>
    </row>
    <row r="108" spans="1:5" ht="19" customHeight="1" x14ac:dyDescent="0.35">
      <c r="A108" s="18" t="s">
        <v>893</v>
      </c>
      <c r="B108" s="18" t="s">
        <v>814</v>
      </c>
      <c r="C108" s="18" t="s">
        <v>842</v>
      </c>
    </row>
    <row r="109" spans="1:5" ht="19" customHeight="1" x14ac:dyDescent="0.35">
      <c r="A109" s="50" t="s">
        <v>894</v>
      </c>
      <c r="B109" s="50">
        <f>B100+B102</f>
        <v>27</v>
      </c>
      <c r="C109" s="31">
        <f>B109/B112</f>
        <v>0.46551724137931033</v>
      </c>
    </row>
    <row r="110" spans="1:5" ht="19" customHeight="1" x14ac:dyDescent="0.35">
      <c r="A110" s="50" t="s">
        <v>895</v>
      </c>
      <c r="B110" s="50">
        <f>B101+B103</f>
        <v>14</v>
      </c>
      <c r="C110" s="31">
        <f>B110/B112</f>
        <v>0.2413793103448276</v>
      </c>
    </row>
    <row r="111" spans="1:5" ht="19" customHeight="1" x14ac:dyDescent="0.35">
      <c r="A111" s="50" t="s">
        <v>826</v>
      </c>
      <c r="B111" s="50">
        <v>17</v>
      </c>
      <c r="C111" s="31">
        <f>B111/B112</f>
        <v>0.29310344827586204</v>
      </c>
    </row>
    <row r="112" spans="1:5" ht="19" customHeight="1" x14ac:dyDescent="0.35">
      <c r="A112" s="24" t="s">
        <v>822</v>
      </c>
      <c r="B112" s="24">
        <v>58</v>
      </c>
      <c r="C112" s="27">
        <f>SUM(C109:C111)</f>
        <v>1</v>
      </c>
      <c r="D112" s="2" t="s">
        <v>945</v>
      </c>
    </row>
  </sheetData>
  <mergeCells count="16">
    <mergeCell ref="R20:R21"/>
    <mergeCell ref="E18:H18"/>
    <mergeCell ref="E21:E22"/>
    <mergeCell ref="E23:E24"/>
    <mergeCell ref="A98:D98"/>
    <mergeCell ref="A83:C83"/>
    <mergeCell ref="A56:C56"/>
    <mergeCell ref="A65:C65"/>
    <mergeCell ref="A74:C74"/>
    <mergeCell ref="E26:E27"/>
    <mergeCell ref="E28:E29"/>
    <mergeCell ref="A2:C2"/>
    <mergeCell ref="E11:G11"/>
    <mergeCell ref="E2:G2"/>
    <mergeCell ref="A24:C24"/>
    <mergeCell ref="A18:C18"/>
  </mergeCells>
  <conditionalFormatting sqref="G21:H29">
    <cfRule type="colorScale" priority="1">
      <colorScale>
        <cfvo type="num" val="0"/>
        <cfvo type="num" val="9"/>
        <cfvo type="num" val="18"/>
        <color theme="5" tint="0.79998168889431442"/>
        <color theme="5" tint="0.39997558519241921"/>
        <color theme="5" tint="-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Supplementary Dataset</vt:lpstr>
      <vt:lpstr>Supplementary Table 1</vt:lpstr>
      <vt:lpstr>Descriptive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Lovenish Kaur</dc:creator>
  <cp:lastModifiedBy>Kirandeep Kaur</cp:lastModifiedBy>
  <dcterms:created xsi:type="dcterms:W3CDTF">2015-06-05T18:17:20Z</dcterms:created>
  <dcterms:modified xsi:type="dcterms:W3CDTF">2026-08-10T12:58:27Z</dcterms:modified>
</cp:coreProperties>
</file>